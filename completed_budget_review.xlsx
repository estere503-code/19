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560abc1c4e49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 Read Me" sheetId="1" r:id="R675a2e2e0b724f43"/>
    <x:sheet xmlns:r="http://schemas.openxmlformats.org/officeDocument/2006/relationships" name="01 Prior Year P&amp;L" sheetId="2" r:id="R5faea504d81a4b14"/>
    <x:sheet xmlns:r="http://schemas.openxmlformats.org/officeDocument/2006/relationships" name="02 Prior Year Sales" sheetId="3" r:id="R7d6eb92943234f7e"/>
    <x:sheet xmlns:r="http://schemas.openxmlformats.org/officeDocument/2006/relationships" name="03 Prior Year Marketing" sheetId="4" r:id="R913717175779466b"/>
    <x:sheet xmlns:r="http://schemas.openxmlformats.org/officeDocument/2006/relationships" name="04 Prior Year Programs" sheetId="5" r:id="Rc0d1b6392aa44c10"/>
    <x:sheet xmlns:r="http://schemas.openxmlformats.org/officeDocument/2006/relationships" name="05 Draft Sales Budget" sheetId="6" r:id="R795ef286ab6d4d22"/>
    <x:sheet xmlns:r="http://schemas.openxmlformats.org/officeDocument/2006/relationships" name="06 Draft Program Plan" sheetId="7" r:id="R55b7e4a7562642c3"/>
    <x:sheet xmlns:r="http://schemas.openxmlformats.org/officeDocument/2006/relationships" name="07 Draft Operating Costs" sheetId="8" r:id="Ra496d3f4d1394f42"/>
    <x:sheet xmlns:r="http://schemas.openxmlformats.org/officeDocument/2006/relationships" name="08 Draft P&amp;L" sheetId="9" r:id="R5fb2e2e9d2f94845"/>
    <x:sheet xmlns:r="http://schemas.openxmlformats.org/officeDocument/2006/relationships" name="09 Assumption Review" sheetId="11" r:id="R9465b3bb73b94dbf"/>
    <x:sheet xmlns:r="http://schemas.openxmlformats.org/officeDocument/2006/relationships" name="10 Corrected Budget" sheetId="12" r:id="R5d8d43c22d77456b"/>
    <x:sheet xmlns:r="http://schemas.openxmlformats.org/officeDocument/2006/relationships" name="11 Management Recommendation" sheetId="13" r:id="Rd3738a983acf4c2d"/>
    <x:sheet xmlns:r="http://schemas.openxmlformats.org/officeDocument/2006/relationships" name="12 Management Budget" sheetId="14" r:id="R9ebf005396ab42a9"/>
    <x:sheet xmlns:r="http://schemas.openxmlformats.org/officeDocument/2006/relationships" name="13 Monthly Comparison" sheetId="15" r:id="Ra399fcb89f3f46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9">
    <x:numFmt numFmtId="200" formatCode="€#,##0;[Red](€#,##0);-"/>
    <x:numFmt numFmtId="201" formatCode="0.0%"/>
    <x:numFmt numFmtId="202" formatCode="#,##0;[Red](#,##0);-"/>
    <x:numFmt numFmtId="203" formatCode="0.0"/>
    <x:numFmt numFmtId="204" formatCode="€#,##0;[Red](€#,##0);&quot;–&quot;"/>
    <x:numFmt numFmtId="205" formatCode="0.0%;[Red](0.0%);&quot;–&quot;"/>
    <x:numFmt numFmtId="206" formatCode="#,##0.0"/>
    <x:numFmt numFmtId="207" formatCode="#,##0;(#,##0);-"/>
    <x:numFmt numFmtId="208" formatCode="0.0%;(0.0%);-"/>
  </x:numFmts>
  <x:fonts count="18">
    <x:font>
      <x:sz val="11"/>
      <x:name val="Carlito"/>
    </x:font>
    <x:font>
      <x:b/>
      <x:sz val="16"/>
      <x:color rgb="FF000000"/>
      <x:name val="Arial"/>
    </x:font>
    <x:font>
      <x:i/>
      <x:sz val="10"/>
      <x:color rgb="FF555555"/>
      <x:name val="Arial"/>
    </x:font>
    <x:font>
      <x:b/>
      <x:sz val="10"/>
      <x:color rgb="FFFFFFFF"/>
      <x:name val="Arial"/>
    </x:font>
    <x:font>
      <x:b/>
      <x:sz val="10"/>
      <x:name val="Arial"/>
    </x:font>
    <x:font>
      <x:b/>
      <x:sz val="12"/>
      <x:name val="Arial"/>
    </x:font>
    <x:font>
      <x:b/>
      <x:sz val="10"/>
      <x:color rgb="FF000000"/>
      <x:name val="Arial"/>
    </x:font>
    <x:font>
      <x:sz val="10"/>
      <x:color rgb="FF000000"/>
      <x:name val="Arial"/>
    </x:font>
    <x:font>
      <x:i/>
      <x:sz val="10"/>
      <x:color rgb="FF000000"/>
      <x:name val="Arial"/>
    </x:font>
    <x:font>
      <x:sz val="10"/>
      <x:color rgb="FF0000FF"/>
      <x:name val="Arial"/>
    </x:font>
    <x:font>
      <x:sz val="10"/>
      <x:color rgb="FF008000"/>
      <x:name val="Arial"/>
    </x:font>
    <x:font>
      <x:sz val="9"/>
      <x:color rgb="FF0000FF"/>
      <x:name val="Arial"/>
    </x:font>
    <x:font>
      <x:sz val="10"/>
      <x:name val="Arial"/>
    </x:font>
    <x:font>
      <x:b/>
      <x:sz val="14"/>
      <x:name val="Arial"/>
    </x:font>
    <x:font>
      <x:i/>
      <x:sz val="10"/>
      <x:name val="Arial"/>
    </x:font>
    <x:font>
      <x:b/>
      <x:sz val="14"/>
      <x:color rgb="FF000000"/>
      <x:name val="Arial"/>
    </x:font>
    <x:font>
      <x:i/>
      <x:sz val="10"/>
      <x:color rgb="FF666666"/>
      <x:name val="Arial"/>
    </x:font>
    <x:font>
      <x:b/>
      <x:i/>
      <x:sz val="10"/>
      <x:color rgb="FFFFFFFF"/>
      <x:name val="Arial"/>
    </x:font>
  </x:fonts>
  <x:fills count="14">
    <x:fill>
      <x:patternFill patternType="none"/>
    </x:fill>
    <x:fill>
      <x:patternFill patternType="gray125"/>
    </x:fill>
    <x:fill>
      <x:patternFill patternType="solid">
        <x:fgColor rgb="FF173A46"/>
      </x:patternFill>
    </x:fill>
    <x:fill>
      <x:patternFill patternType="solid">
        <x:fgColor rgb="FFDDEBF7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183D48"/>
      </x:patternFill>
    </x:fill>
    <x:fill>
      <x:patternFill patternType="solid">
        <x:fgColor rgb="FFFFF2CC"/>
      </x:patternFill>
    </x:fill>
    <x:fill>
      <x:patternFill patternType="solid">
        <x:fgColor rgb="FFE6EFF3"/>
      </x:patternFill>
    </x:fill>
    <x:fill>
      <x:patternFill patternType="solid">
        <x:fgColor rgb="FFFFFFFF"/>
      </x:patternFill>
    </x:fill>
    <x:fill>
      <x:patternFill patternType="solid">
        <x:fgColor rgb="FFFFF7E5"/>
      </x:patternFill>
    </x:fill>
    <x:fill>
      <x:patternFill patternType="solid">
        <x:fgColor rgb="FFF0F7EA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7">
    <x:border/>
    <x:border>
      <x:bottom style="thin">
        <x:color rgb="FF73878D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top style="double">
        <x:color rgb="FF000000"/>
      </x:top>
    </x:border>
    <x:border>
      <x:bottom style="thin">
        <x:color rgb="FFD9D9D9"/>
      </x:bottom>
    </x:border>
    <x:border>
      <x:top style="thin">
        <x:color rgb="FFD9D9D9"/>
      </x:top>
      <x:bottom style="thin">
        <x:color rgb="FFD9D9D9"/>
      </x:bottom>
    </x:border>
    <x:border>
      <x:top style="thin">
        <x:color rgb="FFD9D9D9"/>
      </x:top>
    </x:border>
  </x:borders>
  <x:cellStyleXfs count="1">
    <x:xf numFmtId="0" fontId="0" fillId="0" borderId="0"/>
  </x:cellStyleXfs>
  <x:cellXfs count="316">
    <x:xf numFmtId="0" fontId="0" fillId="0" borderId="0" xfId="0"/>
    <x:xf numFmtId="0" fontId="0" fillId="0" borderId="1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0" fillId="0" borderId="2" xfId="0" applyNumberFormat="1" applyFont="1" applyFill="1" applyBorder="1"/>
    <x:xf numFmtId="0" fontId="5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6" fillId="0" borderId="1" xfId="0" applyNumberFormat="1" applyFont="1" applyFill="1" applyBorder="1"/>
    <x:xf numFmtId="0" fontId="7" fillId="0" borderId="1" xfId="0" applyNumberFormat="1" applyFont="1" applyFill="1" applyBorder="1"/>
    <x:xf numFmtId="0" fontId="8" fillId="0" borderId="0" xfId="0" applyNumberFormat="1" applyFont="1" applyFill="1" applyBorder="1"/>
    <x:xf numFmtId="0" fontId="7" fillId="0" borderId="0" xfId="0" applyNumberFormat="1" applyFont="1" applyFill="1" applyBorder="1"/>
    <x:xf numFmtId="0" fontId="6" fillId="2" borderId="0" xfId="0" applyNumberFormat="1" applyFont="1" applyFill="1" applyBorder="1" applyAlignment="1">
      <x:alignment horizontal="center" vertical="center" wrapText="1"/>
    </x:xf>
    <x:xf numFmtId="0" fontId="6" fillId="0" borderId="2" xfId="0" applyNumberFormat="1" applyFont="1" applyFill="1" applyBorder="1"/>
    <x:xf numFmtId="0" fontId="7" fillId="0" borderId="2" xfId="0" applyNumberFormat="1" applyFont="1" applyFill="1" applyBorder="1"/>
    <x:xf numFmtId="0" fontId="6" fillId="0" borderId="0" xfId="0" applyNumberFormat="1" applyFont="1" applyFill="1" applyBorder="1"/>
    <x:xf numFmtId="0" fontId="7" fillId="3" borderId="0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vertical="center"/>
    </x:xf>
    <x:xf numFmtId="0" fontId="7" fillId="0" borderId="1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0" fontId="6" fillId="0" borderId="2" xfId="0" applyNumberFormat="1" applyFont="1" applyFill="1" applyBorder="1" applyAlignment="1">
      <x:alignment vertical="center"/>
    </x:xf>
    <x:xf numFmtId="0" fontId="7" fillId="0" borderId="2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7" fillId="3" borderId="0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/>
    <x:xf numFmtId="200" fontId="0" fillId="0" borderId="0" xfId="0" applyNumberFormat="1" applyFont="1" applyFill="1" applyBorder="1"/>
    <x:xf numFmtId="200" fontId="4" fillId="0" borderId="3" xfId="0" applyNumberFormat="1" applyFont="1" applyFill="1" applyBorder="1"/>
    <x:xf numFmtId="0" fontId="9" fillId="0" borderId="0" xfId="0" applyNumberFormat="1" applyFont="1" applyFill="1" applyBorder="1"/>
    <x:xf numFmtId="200" fontId="9" fillId="0" borderId="0" xfId="0" applyNumberFormat="1" applyFont="1" applyFill="1" applyBorder="1"/>
    <x:xf numFmtId="200" fontId="7" fillId="0" borderId="0" xfId="0" applyNumberFormat="1" applyFont="1" applyFill="1" applyBorder="1"/>
    <x:xf numFmtId="0" fontId="6" fillId="0" borderId="3" xfId="0" applyNumberFormat="1" applyFont="1" applyFill="1" applyBorder="1"/>
    <x:xf numFmtId="200" fontId="6" fillId="0" borderId="3" xfId="0" applyNumberFormat="1" applyFont="1" applyFill="1" applyBorder="1"/>
    <x:xf numFmtId="200" fontId="7" fillId="0" borderId="0" xfId="0" applyNumberFormat="1" applyFont="1" applyFill="1" applyBorder="1" applyAlignment="1">
      <x:alignment vertical="center"/>
    </x:xf>
    <x:xf numFmtId="0" fontId="6" fillId="0" borderId="3" xfId="0" applyNumberFormat="1" applyFont="1" applyFill="1" applyBorder="1" applyAlignment="1">
      <x:alignment vertical="center"/>
    </x:xf>
    <x:xf numFmtId="200" fontId="6" fillId="0" borderId="3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left" vertical="center" wrapText="1"/>
    </x:xf>
    <x:xf numFmtId="201" fontId="0" fillId="0" borderId="0" xfId="0" applyNumberFormat="1" applyFont="1" applyFill="1" applyBorder="1"/>
    <x:xf numFmtId="0" fontId="0" fillId="3" borderId="0" xfId="0" applyNumberFormat="1" applyFont="1" applyFill="1" applyBorder="1"/>
    <x:xf numFmtId="200" fontId="0" fillId="3" borderId="0" xfId="0" applyNumberFormat="1" applyFont="1" applyFill="1" applyBorder="1"/>
    <x:xf numFmtId="201" fontId="0" fillId="3" borderId="0" xfId="0" applyNumberFormat="1" applyFont="1" applyFill="1" applyBorder="1"/>
    <x:xf numFmtId="0" fontId="0" fillId="4" borderId="0" xfId="0" applyNumberFormat="1" applyFont="1" applyFill="1" applyBorder="1"/>
    <x:xf numFmtId="200" fontId="0" fillId="4" borderId="0" xfId="0" applyNumberFormat="1" applyFont="1" applyFill="1" applyBorder="1"/>
    <x:xf numFmtId="201" fontId="0" fillId="4" borderId="0" xfId="0" applyNumberFormat="1" applyFont="1" applyFill="1" applyBorder="1"/>
    <x:xf numFmtId="200" fontId="10" fillId="0" borderId="0" xfId="0" applyNumberFormat="1" applyFont="1" applyFill="1" applyBorder="1"/>
    <x:xf numFmtId="0" fontId="6" fillId="2" borderId="0" xfId="0" applyNumberFormat="1" applyFont="1" applyFill="1" applyBorder="1" applyAlignment="1">
      <x:alignment horizontal="left" vertical="center" wrapText="1"/>
    </x:xf>
    <x:xf numFmtId="0" fontId="7" fillId="3" borderId="0" xfId="0" applyNumberFormat="1" applyFont="1" applyFill="1" applyBorder="1"/>
    <x:xf numFmtId="200" fontId="7" fillId="3" borderId="0" xfId="0" applyNumberFormat="1" applyFont="1" applyFill="1" applyBorder="1"/>
    <x:xf numFmtId="201" fontId="7" fillId="3" borderId="0" xfId="0" applyNumberFormat="1" applyFont="1" applyFill="1" applyBorder="1"/>
    <x:xf numFmtId="0" fontId="7" fillId="4" borderId="0" xfId="0" applyNumberFormat="1" applyFont="1" applyFill="1" applyBorder="1"/>
    <x:xf numFmtId="200" fontId="7" fillId="4" borderId="0" xfId="0" applyNumberFormat="1" applyFont="1" applyFill="1" applyBorder="1"/>
    <x:xf numFmtId="201" fontId="7" fillId="4" borderId="0" xfId="0" applyNumberFormat="1" applyFont="1" applyFill="1" applyBorder="1"/>
    <x:xf numFmtId="0" fontId="7" fillId="3" borderId="0" xfId="0" applyNumberFormat="1" applyFont="1" applyFill="1" applyBorder="1" applyAlignment="1">
      <x:alignment vertical="center"/>
    </x:xf>
    <x:xf numFmtId="200" fontId="7" fillId="3" borderId="0" xfId="0" applyNumberFormat="1" applyFont="1" applyFill="1" applyBorder="1" applyAlignment="1">
      <x:alignment vertical="center"/>
    </x:xf>
    <x:xf numFmtId="201" fontId="7" fillId="3" borderId="0" xfId="0" applyNumberFormat="1" applyFont="1" applyFill="1" applyBorder="1" applyAlignment="1">
      <x:alignment vertical="center"/>
    </x:xf>
    <x:xf numFmtId="0" fontId="7" fillId="4" borderId="0" xfId="0" applyNumberFormat="1" applyFont="1" applyFill="1" applyBorder="1" applyAlignment="1">
      <x:alignment vertical="center"/>
    </x:xf>
    <x:xf numFmtId="200" fontId="7" fillId="4" borderId="0" xfId="0" applyNumberFormat="1" applyFont="1" applyFill="1" applyBorder="1" applyAlignment="1">
      <x:alignment vertical="center"/>
    </x:xf>
    <x:xf numFmtId="201" fontId="7" fillId="4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/>
    <x:xf numFmtId="202" fontId="9" fillId="0" borderId="0" xfId="0" applyNumberFormat="1" applyFont="1" applyFill="1" applyBorder="1"/>
    <x:xf numFmtId="202" fontId="7" fillId="0" borderId="0" xfId="0" applyNumberFormat="1" applyFont="1" applyFill="1" applyBorder="1"/>
    <x:xf numFmtId="202" fontId="7" fillId="0" borderId="0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/>
    <x:xf numFmtId="203" fontId="7" fillId="0" borderId="0" xfId="0" applyNumberFormat="1" applyFont="1" applyFill="1" applyBorder="1"/>
    <x:xf numFmtId="203" fontId="7" fillId="0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/>
    <x:xf numFmtId="200" fontId="4" fillId="3" borderId="0" xfId="0" applyNumberFormat="1" applyFont="1" applyFill="1" applyBorder="1"/>
    <x:xf numFmtId="201" fontId="4" fillId="3" borderId="0" xfId="0" applyNumberFormat="1" applyFont="1" applyFill="1" applyBorder="1"/>
    <x:xf numFmtId="0" fontId="6" fillId="3" borderId="0" xfId="0" applyNumberFormat="1" applyFont="1" applyFill="1" applyBorder="1"/>
    <x:xf numFmtId="200" fontId="6" fillId="3" borderId="0" xfId="0" applyNumberFormat="1" applyFont="1" applyFill="1" applyBorder="1"/>
    <x:xf numFmtId="201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vertical="center"/>
    </x:xf>
    <x:xf numFmtId="200" fontId="6" fillId="3" borderId="0" xfId="0" applyNumberFormat="1" applyFont="1" applyFill="1" applyBorder="1" applyAlignment="1">
      <x:alignment vertical="center"/>
    </x:xf>
    <x:xf numFmtId="201" fontId="6" fillId="3" borderId="0" xfId="0" applyNumberFormat="1" applyFont="1" applyFill="1" applyBorder="1" applyAlignment="1">
      <x:alignment vertical="center"/>
    </x:xf>
    <x:xf numFmtId="202" fontId="4" fillId="3" borderId="0" xfId="0" applyNumberFormat="1" applyFont="1" applyFill="1" applyBorder="1"/>
    <x:xf numFmtId="0" fontId="11" fillId="0" borderId="0" xfId="0" applyNumberFormat="1" applyFont="1" applyFill="1" applyBorder="1"/>
    <x:xf numFmtId="201" fontId="7" fillId="0" borderId="0" xfId="0" applyNumberFormat="1" applyFont="1" applyFill="1" applyBorder="1"/>
    <x:xf numFmtId="202" fontId="6" fillId="3" borderId="0" xfId="0" applyNumberFormat="1" applyFont="1" applyFill="1" applyBorder="1"/>
    <x:xf numFmtId="201" fontId="7" fillId="0" borderId="0" xfId="0" applyNumberFormat="1" applyFont="1" applyFill="1" applyBorder="1" applyAlignment="1">
      <x:alignment vertical="center"/>
    </x:xf>
    <x:xf numFmtId="202" fontId="6" fillId="3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0" fillId="5" borderId="2" xfId="0" applyNumberFormat="1" applyFont="1" applyFill="1" applyBorder="1"/>
    <x:xf numFmtId="0" fontId="0" fillId="5" borderId="2" xfId="0" applyNumberFormat="1" applyFont="1" applyFill="1" applyBorder="1" applyAlignment="1">
      <x:alignment wrapText="1"/>
    </x:xf>
    <x:xf numFmtId="0" fontId="7" fillId="5" borderId="2" xfId="0" applyNumberFormat="1" applyFont="1" applyFill="1" applyBorder="1"/>
    <x:xf numFmtId="0" fontId="7" fillId="5" borderId="2" xfId="0" applyNumberFormat="1" applyFont="1" applyFill="1" applyBorder="1" applyAlignment="1">
      <x:alignment wrapText="1"/>
    </x:xf>
    <x:xf numFmtId="0" fontId="7" fillId="5" borderId="2" xfId="0" applyNumberFormat="1" applyFont="1" applyFill="1" applyBorder="1" applyAlignment="1">
      <x:alignment vertical="center"/>
    </x:xf>
    <x:xf numFmtId="0" fontId="7" fillId="5" borderId="2" xfId="0" applyNumberFormat="1" applyFont="1" applyFill="1" applyBorder="1" applyAlignment="1">
      <x:alignment vertical="center" wrapText="1"/>
    </x:xf>
    <x:xf numFmtId="200" fontId="0" fillId="5" borderId="2" xfId="0" applyNumberFormat="1" applyFont="1" applyFill="1" applyBorder="1"/>
    <x:xf numFmtId="201" fontId="0" fillId="5" borderId="2" xfId="0" applyNumberFormat="1" applyFont="1" applyFill="1" applyBorder="1"/>
    <x:xf numFmtId="202" fontId="0" fillId="5" borderId="2" xfId="0" applyNumberFormat="1" applyFont="1" applyFill="1" applyBorder="1"/>
    <x:xf numFmtId="200" fontId="7" fillId="5" borderId="2" xfId="0" applyNumberFormat="1" applyFont="1" applyFill="1" applyBorder="1"/>
    <x:xf numFmtId="201" fontId="7" fillId="5" borderId="2" xfId="0" applyNumberFormat="1" applyFont="1" applyFill="1" applyBorder="1"/>
    <x:xf numFmtId="202" fontId="7" fillId="5" borderId="2" xfId="0" applyNumberFormat="1" applyFont="1" applyFill="1" applyBorder="1"/>
    <x:xf numFmtId="200" fontId="7" fillId="5" borderId="2" xfId="0" applyNumberFormat="1" applyFont="1" applyFill="1" applyBorder="1" applyAlignment="1">
      <x:alignment vertical="center"/>
    </x:xf>
    <x:xf numFmtId="201" fontId="7" fillId="5" borderId="2" xfId="0" applyNumberFormat="1" applyFont="1" applyFill="1" applyBorder="1" applyAlignment="1">
      <x:alignment vertical="center"/>
    </x:xf>
    <x:xf numFmtId="202" fontId="7" fillId="5" borderId="2" xfId="0" applyNumberFormat="1" applyFont="1" applyFill="1" applyBorder="1" applyAlignment="1">
      <x:alignment vertical="center"/>
    </x:xf>
    <x:xf numFmtId="0" fontId="12" fillId="0" borderId="0" xfId="0" applyNumberFormat="1" applyFont="1" applyFill="1" applyBorder="1"/>
    <x:xf numFmtId="0" fontId="12" fillId="0" borderId="0" xfId="0" applyNumberFormat="1" applyFont="1" applyFill="1" applyBorder="1" applyAlignment="1">
      <x:alignment wrapText="1"/>
    </x:xf>
    <x:xf numFmtId="0" fontId="12" fillId="0" borderId="0" xfId="0" applyNumberFormat="1" applyFont="1" applyFill="1" applyBorder="1" applyAlignment="1">
      <x:alignment vertical="center" wrapText="1"/>
    </x:xf>
    <x:xf numFmtId="0" fontId="13" fillId="0" borderId="0" xfId="0" applyNumberFormat="1" applyFont="1" applyFill="1" applyBorder="1"/>
    <x:xf numFmtId="0" fontId="14" fillId="0" borderId="0" xfId="0" applyNumberFormat="1" applyFont="1" applyFill="1" applyBorder="1"/>
    <x:xf numFmtId="0" fontId="12" fillId="6" borderId="0" xfId="0" applyNumberFormat="1" applyFont="1" applyFill="1" applyBorder="1"/>
    <x:xf numFmtId="0" fontId="3" fillId="6" borderId="0" xfId="0" applyNumberFormat="1" applyFont="1" applyFill="1" applyBorder="1"/>
    <x:xf numFmtId="0" fontId="12" fillId="7" borderId="0" xfId="0" applyNumberFormat="1" applyFont="1" applyFill="1" applyBorder="1"/>
    <x:xf numFmtId="0" fontId="3" fillId="6" borderId="4" xfId="0" applyNumberFormat="1" applyFont="1" applyFill="1" applyBorder="1"/>
    <x:xf numFmtId="0" fontId="12" fillId="0" borderId="5" xfId="0" applyNumberFormat="1" applyFont="1" applyFill="1" applyBorder="1"/>
    <x:xf numFmtId="0" fontId="12" fillId="7" borderId="5" xfId="0" applyNumberFormat="1" applyFont="1" applyFill="1" applyBorder="1"/>
    <x:xf numFmtId="0" fontId="12" fillId="0" borderId="6" xfId="0" applyNumberFormat="1" applyFont="1" applyFill="1" applyBorder="1"/>
    <x:xf numFmtId="0" fontId="12" fillId="7" borderId="6" xfId="0" applyNumberFormat="1" applyFont="1" applyFill="1" applyBorder="1"/>
    <x:xf numFmtId="204" fontId="7" fillId="5" borderId="2" xfId="0" applyNumberFormat="1" applyFont="1" applyFill="1" applyBorder="1" applyAlignment="1">
      <x:alignment vertical="center"/>
    </x:xf>
    <x:xf numFmtId="205" fontId="7" fillId="5" borderId="2" xfId="0" applyNumberFormat="1" applyFont="1" applyFill="1" applyBorder="1" applyAlignment="1">
      <x:alignment vertical="center"/>
    </x:xf>
    <x:xf numFmtId="206" fontId="7" fillId="5" borderId="2" xfId="0" applyNumberFormat="1" applyFont="1" applyFill="1" applyBorder="1" applyAlignment="1">
      <x:alignment vertical="center"/>
    </x:xf>
    <x:xf numFmtId="204" fontId="7" fillId="8" borderId="2" xfId="0" applyNumberFormat="1" applyFont="1" applyFill="1" applyBorder="1" applyAlignment="1">
      <x:alignment vertical="center"/>
    </x:xf>
    <x:xf numFmtId="205" fontId="7" fillId="8" borderId="2" xfId="0" applyNumberFormat="1" applyFont="1" applyFill="1" applyBorder="1" applyAlignment="1">
      <x:alignment vertical="center"/>
    </x:xf>
    <x:xf numFmtId="204" fontId="9" fillId="5" borderId="2" xfId="0" applyNumberFormat="1" applyFont="1" applyFill="1" applyBorder="1" applyAlignment="1">
      <x:alignment vertical="center"/>
    </x:xf>
    <x:xf numFmtId="206" fontId="9" fillId="5" borderId="2" xfId="0" applyNumberFormat="1" applyFont="1" applyFill="1" applyBorder="1" applyAlignment="1">
      <x:alignment vertical="center"/>
    </x:xf>
    <x:xf numFmtId="206" fontId="7" fillId="8" borderId="2" xfId="0" applyNumberFormat="1" applyFont="1" applyFill="1" applyBorder="1" applyAlignment="1">
      <x:alignment vertical="center"/>
    </x:xf>
    <x:xf numFmtId="204" fontId="12" fillId="7" borderId="5" xfId="0" applyNumberFormat="1" applyFont="1" applyFill="1" applyBorder="1"/>
    <x:xf numFmtId="204" fontId="12" fillId="0" borderId="5" xfId="0" applyNumberFormat="1" applyFont="1" applyFill="1" applyBorder="1"/>
    <x:xf numFmtId="205" fontId="12" fillId="7" borderId="5" xfId="0" applyNumberFormat="1" applyFont="1" applyFill="1" applyBorder="1"/>
    <x:xf numFmtId="205" fontId="12" fillId="0" borderId="5" xfId="0" applyNumberFormat="1" applyFont="1" applyFill="1" applyBorder="1"/>
    <x:xf numFmtId="206" fontId="12" fillId="7" borderId="5" xfId="0" applyNumberFormat="1" applyFont="1" applyFill="1" applyBorder="1"/>
    <x:xf numFmtId="206" fontId="12" fillId="0" borderId="5" xfId="0" applyNumberFormat="1" applyFont="1" applyFill="1" applyBorder="1"/>
    <x:xf numFmtId="206" fontId="12" fillId="7" borderId="6" xfId="0" applyNumberFormat="1" applyFont="1" applyFill="1" applyBorder="1"/>
    <x:xf numFmtId="206" fontId="12" fillId="0" borderId="6" xfId="0" applyNumberFormat="1" applyFont="1" applyFill="1" applyBorder="1"/>
    <x:xf numFmtId="204" fontId="12" fillId="8" borderId="5" xfId="0" applyNumberFormat="1" applyFont="1" applyFill="1" applyBorder="1"/>
    <x:xf numFmtId="204" fontId="7" fillId="8" borderId="5" xfId="0" applyNumberFormat="1" applyFont="1" applyFill="1" applyBorder="1"/>
    <x:xf numFmtId="205" fontId="12" fillId="8" borderId="5" xfId="0" applyNumberFormat="1" applyFont="1" applyFill="1" applyBorder="1"/>
    <x:xf numFmtId="205" fontId="7" fillId="8" borderId="5" xfId="0" applyNumberFormat="1" applyFont="1" applyFill="1" applyBorder="1"/>
    <x:xf numFmtId="204" fontId="9" fillId="7" borderId="5" xfId="0" applyNumberFormat="1" applyFont="1" applyFill="1" applyBorder="1"/>
    <x:xf numFmtId="206" fontId="9" fillId="7" borderId="5" xfId="0" applyNumberFormat="1" applyFont="1" applyFill="1" applyBorder="1"/>
    <x:xf numFmtId="206" fontId="9" fillId="7" borderId="6" xfId="0" applyNumberFormat="1" applyFont="1" applyFill="1" applyBorder="1"/>
    <x:xf numFmtId="206" fontId="12" fillId="8" borderId="5" xfId="0" applyNumberFormat="1" applyFont="1" applyFill="1" applyBorder="1"/>
    <x:xf numFmtId="206" fontId="12" fillId="8" borderId="6" xfId="0" applyNumberFormat="1" applyFont="1" applyFill="1" applyBorder="1"/>
    <x:xf numFmtId="204" fontId="7" fillId="5" borderId="2" xfId="0" applyNumberFormat="1" applyFont="1" applyFill="1" applyBorder="1" applyAlignment="1">
      <x:alignment vertical="center" wrapText="1"/>
    </x:xf>
    <x:xf numFmtId="204" fontId="7" fillId="8" borderId="2" xfId="0" applyNumberFormat="1" applyFont="1" applyFill="1" applyBorder="1" applyAlignment="1">
      <x:alignment vertical="center" wrapText="1"/>
    </x:xf>
    <x:xf numFmtId="0" fontId="12" fillId="9" borderId="0" xfId="0" applyNumberFormat="1" applyFont="1" applyFill="1" applyBorder="1"/>
    <x:xf numFmtId="0" fontId="12" fillId="10" borderId="0" xfId="0" applyNumberFormat="1" applyFont="1" applyFill="1" applyBorder="1"/>
    <x:xf numFmtId="0" fontId="12" fillId="11" borderId="0" xfId="0" applyNumberFormat="1" applyFont="1" applyFill="1" applyBorder="1"/>
    <x:xf numFmtId="204" fontId="12" fillId="9" borderId="0" xfId="0" applyNumberFormat="1" applyFont="1" applyFill="1" applyBorder="1"/>
    <x:xf numFmtId="204" fontId="12" fillId="10" borderId="0" xfId="0" applyNumberFormat="1" applyFont="1" applyFill="1" applyBorder="1"/>
    <x:xf numFmtId="204" fontId="12" fillId="11" borderId="0" xfId="0" applyNumberFormat="1" applyFont="1" applyFill="1" applyBorder="1"/>
    <x:xf numFmtId="204" fontId="12" fillId="0" borderId="0" xfId="0" applyNumberFormat="1" applyFont="1" applyFill="1" applyBorder="1"/>
    <x:xf numFmtId="0" fontId="4" fillId="9" borderId="0" xfId="0" applyNumberFormat="1" applyFont="1" applyFill="1" applyBorder="1"/>
    <x:xf numFmtId="204" fontId="4" fillId="9" borderId="0" xfId="0" applyNumberFormat="1" applyFont="1" applyFill="1" applyBorder="1"/>
    <x:xf numFmtId="0" fontId="4" fillId="10" borderId="0" xfId="0" applyNumberFormat="1" applyFont="1" applyFill="1" applyBorder="1"/>
    <x:xf numFmtId="204" fontId="4" fillId="10" borderId="0" xfId="0" applyNumberFormat="1" applyFont="1" applyFill="1" applyBorder="1"/>
    <x:xf numFmtId="0" fontId="4" fillId="11" borderId="0" xfId="0" applyNumberFormat="1" applyFont="1" applyFill="1" applyBorder="1"/>
    <x:xf numFmtId="204" fontId="4" fillId="11" borderId="0" xfId="0" applyNumberFormat="1" applyFont="1" applyFill="1" applyBorder="1"/>
    <x:xf numFmtId="204" fontId="4" fillId="0" borderId="0" xfId="0" applyNumberFormat="1" applyFont="1" applyFill="1" applyBorder="1"/>
    <x:xf numFmtId="0" fontId="12" fillId="9" borderId="0" xfId="0" applyNumberFormat="1" applyFont="1" applyFill="1" applyBorder="1" applyAlignment="1">
      <x:alignment wrapText="1"/>
    </x:xf>
    <x:xf numFmtId="0" fontId="12" fillId="10" borderId="0" xfId="0" applyNumberFormat="1" applyFont="1" applyFill="1" applyBorder="1" applyAlignment="1">
      <x:alignment wrapText="1"/>
    </x:xf>
    <x:xf numFmtId="0" fontId="12" fillId="11" borderId="0" xfId="0" applyNumberFormat="1" applyFont="1" applyFill="1" applyBorder="1" applyAlignment="1">
      <x:alignment wrapText="1"/>
    </x:xf>
    <x:xf numFmtId="0" fontId="4" fillId="9" borderId="0" xfId="0" applyNumberFormat="1" applyFont="1" applyFill="1" applyBorder="1" applyAlignment="1">
      <x:alignment wrapText="1"/>
    </x:xf>
    <x:xf numFmtId="0" fontId="4" fillId="10" borderId="0" xfId="0" applyNumberFormat="1" applyFont="1" applyFill="1" applyBorder="1" applyAlignment="1">
      <x:alignment wrapText="1"/>
    </x:xf>
    <x:xf numFmtId="0" fontId="4" fillId="11" borderId="0" xfId="0" applyNumberFormat="1" applyFont="1" applyFill="1" applyBorder="1" applyAlignment="1">
      <x:alignment wrapText="1"/>
    </x:xf>
    <x:xf numFmtId="0" fontId="15" fillId="0" borderId="0" xfId="0" applyNumberFormat="1" applyFont="1" applyFill="1" applyBorder="1"/>
    <x:xf numFmtId="0" fontId="16" fillId="0" borderId="0" xfId="0" applyNumberFormat="1" applyFont="1" applyFill="1" applyBorder="1"/>
    <x:xf numFmtId="0" fontId="7" fillId="0" borderId="0" xfId="0" applyNumberFormat="1" applyFont="1" applyFill="1" applyBorder="1" applyAlignment="1">
      <x:alignment vertical="center" wrapText="1"/>
    </x:xf>
    <x:xf numFmtId="0" fontId="7" fillId="0" borderId="2" xfId="0" applyNumberFormat="1" applyFont="1" applyFill="1" applyBorder="1" applyAlignment="1">
      <x:alignment vertical="center" wrapText="1"/>
    </x:xf>
    <x:xf numFmtId="0" fontId="6" fillId="2" borderId="2" xfId="0" applyNumberFormat="1" applyFont="1" applyFill="1" applyBorder="1" applyAlignment="1">
      <x:alignment horizontal="center" vertical="center" wrapText="1"/>
    </x:xf>
    <x:xf numFmtId="0" fontId="7" fillId="0" borderId="2" xfId="0" applyNumberFormat="1" applyFont="1" applyFill="1" applyBorder="1" applyAlignment="1">
      <x:alignment horizontal="center" vertical="center" wrapText="1"/>
    </x:xf>
    <x:xf numFmtId="207" fontId="7" fillId="0" borderId="2" xfId="0" applyNumberFormat="1" applyFont="1" applyFill="1" applyBorder="1" applyAlignment="1">
      <x:alignment vertical="center" wrapText="1"/>
    </x:xf>
    <x:xf numFmtId="207" fontId="6" fillId="2" borderId="2" xfId="0" applyNumberFormat="1" applyFont="1" applyFill="1" applyBorder="1" applyAlignment="1">
      <x:alignment horizontal="center" vertical="center" wrapText="1"/>
    </x:xf>
    <x:xf numFmtId="207" fontId="7" fillId="5" borderId="2" xfId="0" applyNumberFormat="1" applyFont="1" applyFill="1" applyBorder="1" applyAlignment="1">
      <x:alignment vertical="center" wrapText="1"/>
    </x:xf>
    <x:xf numFmtId="0" fontId="15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/>
    </x:xf>
    <x:xf numFmtId="0" fontId="3" fillId="12" borderId="0" xfId="0" applyNumberFormat="1" applyFont="1" applyFill="1" applyBorder="1" applyAlignment="1">
      <x:alignment vertical="center"/>
    </x:xf>
    <x:xf numFmtId="0" fontId="3" fillId="12" borderId="0" xfId="0" applyNumberFormat="1" applyFont="1" applyFill="1" applyBorder="1" applyAlignment="1">
      <x:alignment horizontal="center" vertical="center"/>
    </x:xf>
    <x:xf numFmtId="207" fontId="8" fillId="0" borderId="0" xfId="0" applyNumberFormat="1" applyFont="1" applyFill="1" applyBorder="1" applyAlignment="1">
      <x:alignment vertical="center"/>
    </x:xf>
    <x:xf numFmtId="207" fontId="3" fillId="2" borderId="0" xfId="0" applyNumberFormat="1" applyFont="1" applyFill="1" applyBorder="1" applyAlignment="1">
      <x:alignment horizontal="center" vertical="center" wrapText="1"/>
    </x:xf>
    <x:xf numFmtId="207" fontId="9" fillId="5" borderId="2" xfId="0" applyNumberFormat="1" applyFont="1" applyFill="1" applyBorder="1" applyAlignment="1">
      <x:alignment vertical="center"/>
    </x:xf>
    <x:xf numFmtId="207" fontId="7" fillId="8" borderId="2" xfId="0" applyNumberFormat="1" applyFont="1" applyFill="1" applyBorder="1" applyAlignment="1">
      <x:alignment vertical="center"/>
    </x:xf>
    <x:xf numFmtId="208" fontId="9" fillId="5" borderId="2" xfId="0" applyNumberFormat="1" applyFont="1" applyFill="1" applyBorder="1" applyAlignment="1">
      <x:alignment vertical="center"/>
    </x:xf>
    <x:xf numFmtId="208" fontId="7" fillId="8" borderId="2" xfId="0" applyNumberFormat="1" applyFont="1" applyFill="1" applyBorder="1" applyAlignment="1">
      <x:alignment vertical="center"/>
    </x:xf>
    <x:xf numFmtId="207" fontId="0" fillId="0" borderId="0" xfId="0" applyNumberFormat="1" applyFont="1" applyFill="1" applyBorder="1"/>
    <x:xf numFmtId="0" fontId="6" fillId="12" borderId="0" xfId="0" applyNumberFormat="1" applyFont="1" applyFill="1" applyBorder="1" applyAlignment="1">
      <x:alignment horizontal="center" vertical="center"/>
    </x:xf>
    <x:xf numFmtId="207" fontId="6" fillId="2" borderId="0" xfId="0" applyNumberFormat="1" applyFont="1" applyFill="1" applyBorder="1" applyAlignment="1">
      <x:alignment horizontal="center" vertical="center" wrapText="1"/>
    </x:xf>
    <x:xf numFmtId="207" fontId="7" fillId="5" borderId="2" xfId="0" applyNumberFormat="1" applyFont="1" applyFill="1" applyBorder="1" applyAlignment="1">
      <x:alignment vertical="center"/>
    </x:xf>
    <x:xf numFmtId="208" fontId="7" fillId="5" borderId="2" xfId="0" applyNumberFormat="1" applyFont="1" applyFill="1" applyBorder="1" applyAlignment="1">
      <x:alignment vertical="center"/>
    </x:xf>
    <x:xf numFmtId="0" fontId="6" fillId="12" borderId="0" xfId="0" applyNumberFormat="1" applyFont="1" applyFill="1" applyBorder="1" applyAlignment="1">
      <x:alignment horizontal="center" vertical="center" wrapText="1"/>
    </x:xf>
    <x:xf numFmtId="0" fontId="8" fillId="0" borderId="0" xfId="0" applyNumberFormat="1" applyFont="1" applyFill="1" applyBorder="1" applyAlignment="1">
      <x:alignment vertical="center" wrapText="1"/>
    </x:xf>
    <x:xf numFmtId="207" fontId="8" fillId="0" borderId="0" xfId="0" applyNumberFormat="1" applyFont="1" applyFill="1" applyBorder="1" applyAlignment="1">
      <x:alignment vertical="center" wrapText="1"/>
    </x:xf>
    <x:xf numFmtId="207" fontId="7" fillId="8" borderId="2" xfId="0" applyNumberFormat="1" applyFont="1" applyFill="1" applyBorder="1" applyAlignment="1">
      <x:alignment vertical="center" wrapText="1"/>
    </x:xf>
    <x:xf numFmtId="208" fontId="7" fillId="5" borderId="2" xfId="0" applyNumberFormat="1" applyFont="1" applyFill="1" applyBorder="1" applyAlignment="1">
      <x:alignment vertical="center" wrapText="1"/>
    </x:xf>
    <x:xf numFmtId="208" fontId="7" fillId="8" borderId="2" xfId="0" applyNumberFormat="1" applyFont="1" applyFill="1" applyBorder="1" applyAlignment="1">
      <x:alignment vertical="center" wrapText="1"/>
    </x:xf>
    <x:xf numFmtId="0" fontId="6" fillId="12" borderId="2" xfId="0" applyNumberFormat="1" applyFont="1" applyFill="1" applyBorder="1" applyAlignment="1">
      <x:alignment horizontal="center" vertical="center" wrapText="1"/>
    </x:xf>
    <x:xf numFmtId="0" fontId="8" fillId="0" borderId="2" xfId="0" applyNumberFormat="1" applyFont="1" applyFill="1" applyBorder="1" applyAlignment="1">
      <x:alignment vertical="center" wrapText="1"/>
    </x:xf>
    <x:xf numFmtId="207" fontId="8" fillId="0" borderId="2" xfId="0" applyNumberFormat="1" applyFont="1" applyFill="1" applyBorder="1" applyAlignment="1">
      <x:alignment vertical="center" wrapText="1"/>
    </x:xf>
    <x:xf numFmtId="207" fontId="7" fillId="0" borderId="0" xfId="0" applyNumberFormat="1" applyFont="1" applyFill="1" applyBorder="1"/>
    <x:xf numFmtId="207" fontId="7" fillId="0" borderId="0" xfId="0" applyNumberFormat="1" applyFont="1" applyFill="1" applyBorder="1" applyAlignment="1">
      <x:alignment vertical="center"/>
    </x:xf>
    <x:xf numFmtId="207" fontId="7" fillId="0" borderId="0" xfId="0" applyNumberFormat="1" applyFont="1" applyFill="1" applyBorder="1" applyAlignment="1">
      <x:alignment vertical="center" wrapText="1"/>
    </x:xf>
    <x:xf numFmtId="0" fontId="0" fillId="13" borderId="0" xfId="0" applyNumberFormat="1" applyFont="1" applyFill="1" applyBorder="1"/>
    <x:xf numFmtId="0" fontId="6" fillId="13" borderId="0" xfId="0" applyNumberFormat="1" applyFont="1" applyFill="1" applyBorder="1"/>
    <x:xf numFmtId="0" fontId="7" fillId="12" borderId="2" xfId="0" applyNumberFormat="1" applyFont="1" applyFill="1" applyBorder="1" applyAlignment="1">
      <x:alignment vertical="center" wrapText="1"/>
    </x:xf>
    <x:xf numFmtId="0" fontId="8" fillId="12" borderId="2" xfId="0" applyNumberFormat="1" applyFont="1" applyFill="1" applyBorder="1" applyAlignment="1">
      <x:alignment vertical="center" wrapText="1"/>
    </x:xf>
    <x:xf numFmtId="0" fontId="3" fillId="12" borderId="2" xfId="0" applyNumberFormat="1" applyFont="1" applyFill="1" applyBorder="1" applyAlignment="1">
      <x:alignment vertical="center" wrapText="1"/>
    </x:xf>
    <x:xf numFmtId="0" fontId="17" fillId="12" borderId="2" xfId="0" applyNumberFormat="1" applyFont="1" applyFill="1" applyBorder="1" applyAlignment="1">
      <x:alignment vertical="center" wrapText="1"/>
    </x:xf>
    <x:xf numFmtId="0" fontId="6" fillId="0" borderId="2" xfId="0" applyNumberFormat="1" applyFont="1" applyFill="1" applyBorder="1" applyAlignment="1">
      <x:alignment vertical="center" wrapText="1"/>
    </x:xf>
    <x:xf numFmtId="207" fontId="6" fillId="0" borderId="2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12" borderId="0" xfId="0" applyNumberFormat="1" applyFont="1" applyFill="1" applyBorder="1"/>
    <x:xf numFmtId="0" fontId="3" fillId="12" borderId="0" xfId="0" applyNumberFormat="1" applyFont="1" applyFill="1" applyBorder="1" applyAlignment="1">
      <x:alignment horizontal="center"/>
    </x:xf>
    <x:xf numFmtId="207" fontId="14" fillId="0" borderId="0" xfId="0" applyNumberFormat="1" applyFont="1" applyFill="1" applyBorder="1"/>
    <x:xf numFmtId="207" fontId="3" fillId="6" borderId="4" xfId="0" applyNumberFormat="1" applyFont="1" applyFill="1" applyBorder="1"/>
    <x:xf numFmtId="207" fontId="9" fillId="5" borderId="5" xfId="0" applyNumberFormat="1" applyFont="1" applyFill="1" applyBorder="1"/>
    <x:xf numFmtId="207" fontId="12" fillId="8" borderId="5" xfId="0" applyNumberFormat="1" applyFont="1" applyFill="1" applyBorder="1"/>
    <x:xf numFmtId="207" fontId="7" fillId="8" borderId="5" xfId="0" applyNumberFormat="1" applyFont="1" applyFill="1" applyBorder="1"/>
    <x:xf numFmtId="208" fontId="9" fillId="5" borderId="5" xfId="0" applyNumberFormat="1" applyFont="1" applyFill="1" applyBorder="1"/>
    <x:xf numFmtId="208" fontId="12" fillId="8" borderId="5" xfId="0" applyNumberFormat="1" applyFont="1" applyFill="1" applyBorder="1"/>
    <x:xf numFmtId="0" fontId="6" fillId="12" borderId="0" xfId="0" applyNumberFormat="1" applyFont="1" applyFill="1" applyBorder="1" applyAlignment="1">
      <x:alignment horizontal="center"/>
    </x:xf>
    <x:xf numFmtId="207" fontId="8" fillId="0" borderId="0" xfId="0" applyNumberFormat="1" applyFont="1" applyFill="1" applyBorder="1"/>
    <x:xf numFmtId="0" fontId="6" fillId="6" borderId="4" xfId="0" applyNumberFormat="1" applyFont="1" applyFill="1" applyBorder="1"/>
    <x:xf numFmtId="207" fontId="6" fillId="6" borderId="4" xfId="0" applyNumberFormat="1" applyFont="1" applyFill="1" applyBorder="1"/>
    <x:xf numFmtId="0" fontId="7" fillId="0" borderId="5" xfId="0" applyNumberFormat="1" applyFont="1" applyFill="1" applyBorder="1"/>
    <x:xf numFmtId="0" fontId="7" fillId="5" borderId="5" xfId="0" applyNumberFormat="1" applyFont="1" applyFill="1" applyBorder="1"/>
    <x:xf numFmtId="207" fontId="7" fillId="5" borderId="5" xfId="0" applyNumberFormat="1" applyFont="1" applyFill="1" applyBorder="1"/>
    <x:xf numFmtId="208" fontId="7" fillId="5" borderId="5" xfId="0" applyNumberFormat="1" applyFont="1" applyFill="1" applyBorder="1"/>
    <x:xf numFmtId="208" fontId="7" fillId="8" borderId="5" xfId="0" applyNumberFormat="1" applyFont="1" applyFill="1" applyBorder="1"/>
    <x:xf numFmtId="0" fontId="6" fillId="6" borderId="4" xfId="0" applyNumberFormat="1" applyFont="1" applyFill="1" applyBorder="1" applyAlignment="1">
      <x:alignment vertical="center"/>
    </x:xf>
    <x:xf numFmtId="207" fontId="6" fillId="6" borderId="4" xfId="0" applyNumberFormat="1" applyFont="1" applyFill="1" applyBorder="1" applyAlignment="1">
      <x:alignment vertical="center"/>
    </x:xf>
    <x:xf numFmtId="0" fontId="7" fillId="0" borderId="5" xfId="0" applyNumberFormat="1" applyFont="1" applyFill="1" applyBorder="1" applyAlignment="1">
      <x:alignment vertical="center"/>
    </x:xf>
    <x:xf numFmtId="0" fontId="7" fillId="5" borderId="5" xfId="0" applyNumberFormat="1" applyFont="1" applyFill="1" applyBorder="1" applyAlignment="1">
      <x:alignment vertical="center"/>
    </x:xf>
    <x:xf numFmtId="207" fontId="7" fillId="5" borderId="5" xfId="0" applyNumberFormat="1" applyFont="1" applyFill="1" applyBorder="1" applyAlignment="1">
      <x:alignment vertical="center"/>
    </x:xf>
    <x:xf numFmtId="207" fontId="7" fillId="8" borderId="5" xfId="0" applyNumberFormat="1" applyFont="1" applyFill="1" applyBorder="1" applyAlignment="1">
      <x:alignment vertical="center"/>
    </x:xf>
    <x:xf numFmtId="208" fontId="7" fillId="5" borderId="5" xfId="0" applyNumberFormat="1" applyFont="1" applyFill="1" applyBorder="1" applyAlignment="1">
      <x:alignment vertical="center"/>
    </x:xf>
    <x:xf numFmtId="208" fontId="7" fillId="8" borderId="5" xfId="0" applyNumberFormat="1" applyFont="1" applyFill="1" applyBorder="1" applyAlignment="1">
      <x:alignment vertical="center"/>
    </x:xf>
    <x:xf numFmtId="0" fontId="6" fillId="6" borderId="4" xfId="0" applyNumberFormat="1" applyFont="1" applyFill="1" applyBorder="1" applyAlignment="1">
      <x:alignment vertical="center" wrapText="1"/>
    </x:xf>
    <x:xf numFmtId="207" fontId="6" fillId="6" borderId="4" xfId="0" applyNumberFormat="1" applyFont="1" applyFill="1" applyBorder="1" applyAlignment="1">
      <x:alignment vertical="center" wrapText="1"/>
    </x:xf>
    <x:xf numFmtId="0" fontId="7" fillId="0" borderId="5" xfId="0" applyNumberFormat="1" applyFont="1" applyFill="1" applyBorder="1" applyAlignment="1">
      <x:alignment vertical="center" wrapText="1"/>
    </x:xf>
    <x:xf numFmtId="0" fontId="7" fillId="5" borderId="5" xfId="0" applyNumberFormat="1" applyFont="1" applyFill="1" applyBorder="1" applyAlignment="1">
      <x:alignment vertical="center" wrapText="1"/>
    </x:xf>
    <x:xf numFmtId="207" fontId="7" fillId="5" borderId="5" xfId="0" applyNumberFormat="1" applyFont="1" applyFill="1" applyBorder="1" applyAlignment="1">
      <x:alignment vertical="center" wrapText="1"/>
    </x:xf>
    <x:xf numFmtId="207" fontId="7" fillId="8" borderId="5" xfId="0" applyNumberFormat="1" applyFont="1" applyFill="1" applyBorder="1" applyAlignment="1">
      <x:alignment vertical="center" wrapText="1"/>
    </x:xf>
    <x:xf numFmtId="208" fontId="7" fillId="5" borderId="5" xfId="0" applyNumberFormat="1" applyFont="1" applyFill="1" applyBorder="1" applyAlignment="1">
      <x:alignment vertical="center" wrapText="1"/>
    </x:xf>
    <x:xf numFmtId="208" fontId="7" fillId="8" borderId="5" xfId="0" applyNumberFormat="1" applyFont="1" applyFill="1" applyBorder="1" applyAlignment="1">
      <x:alignment vertical="center" wrapText="1"/>
    </x:xf>
    <x:xf numFmtId="0" fontId="6" fillId="6" borderId="2" xfId="0" applyNumberFormat="1" applyFont="1" applyFill="1" applyBorder="1" applyAlignment="1">
      <x:alignment vertical="center" wrapText="1"/>
    </x:xf>
    <x:xf numFmtId="207" fontId="6" fillId="6" borderId="2" xfId="0" applyNumberFormat="1" applyFont="1" applyFill="1" applyBorder="1" applyAlignment="1">
      <x:alignment vertical="center" wrapText="1"/>
    </x:xf>
    <x:xf numFmtId="0" fontId="12" fillId="13" borderId="0" xfId="0" applyNumberFormat="1" applyFont="1" applyFill="1" applyBorder="1"/>
    <x:xf numFmtId="0" fontId="6" fillId="6" borderId="0" xfId="0" applyNumberFormat="1" applyFont="1" applyFill="1" applyBorder="1"/>
    <x:xf numFmtId="0" fontId="7" fillId="9" borderId="0" xfId="0" applyNumberFormat="1" applyFont="1" applyFill="1" applyBorder="1"/>
    <x:xf numFmtId="0" fontId="7" fillId="9" borderId="0" xfId="0" applyNumberFormat="1" applyFont="1" applyFill="1" applyBorder="1" applyAlignment="1">
      <x:alignment wrapText="1"/>
    </x:xf>
    <x:xf numFmtId="204" fontId="7" fillId="9" borderId="0" xfId="0" applyNumberFormat="1" applyFont="1" applyFill="1" applyBorder="1"/>
    <x:xf numFmtId="204" fontId="6" fillId="9" borderId="0" xfId="0" applyNumberFormat="1" applyFont="1" applyFill="1" applyBorder="1"/>
    <x:xf numFmtId="0" fontId="7" fillId="10" borderId="0" xfId="0" applyNumberFormat="1" applyFont="1" applyFill="1" applyBorder="1"/>
    <x:xf numFmtId="0" fontId="7" fillId="10" borderId="0" xfId="0" applyNumberFormat="1" applyFont="1" applyFill="1" applyBorder="1" applyAlignment="1">
      <x:alignment wrapText="1"/>
    </x:xf>
    <x:xf numFmtId="204" fontId="7" fillId="10" borderId="0" xfId="0" applyNumberFormat="1" applyFont="1" applyFill="1" applyBorder="1"/>
    <x:xf numFmtId="204" fontId="6" fillId="10" borderId="0" xfId="0" applyNumberFormat="1" applyFont="1" applyFill="1" applyBorder="1"/>
    <x:xf numFmtId="0" fontId="7" fillId="11" borderId="0" xfId="0" applyNumberFormat="1" applyFont="1" applyFill="1" applyBorder="1"/>
    <x:xf numFmtId="0" fontId="7" fillId="11" borderId="0" xfId="0" applyNumberFormat="1" applyFont="1" applyFill="1" applyBorder="1" applyAlignment="1">
      <x:alignment wrapText="1"/>
    </x:xf>
    <x:xf numFmtId="204" fontId="7" fillId="11" borderId="0" xfId="0" applyNumberFormat="1" applyFont="1" applyFill="1" applyBorder="1"/>
    <x:xf numFmtId="204" fontId="6" fillId="11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204" fontId="7" fillId="0" borderId="0" xfId="0" applyNumberFormat="1" applyFont="1" applyFill="1" applyBorder="1"/>
    <x:xf numFmtId="204" fontId="6" fillId="0" borderId="0" xfId="0" applyNumberFormat="1" applyFont="1" applyFill="1" applyBorder="1"/>
    <x:xf numFmtId="0" fontId="6" fillId="9" borderId="0" xfId="0" applyNumberFormat="1" applyFont="1" applyFill="1" applyBorder="1"/>
    <x:xf numFmtId="0" fontId="6" fillId="9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vertical="center"/>
    </x:xf>
    <x:xf numFmtId="0" fontId="7" fillId="9" borderId="0" xfId="0" applyNumberFormat="1" applyFont="1" applyFill="1" applyBorder="1" applyAlignment="1">
      <x:alignment vertical="center"/>
    </x:xf>
    <x:xf numFmtId="0" fontId="7" fillId="9" borderId="0" xfId="0" applyNumberFormat="1" applyFont="1" applyFill="1" applyBorder="1" applyAlignment="1">
      <x:alignment vertical="center" wrapText="1"/>
    </x:xf>
    <x:xf numFmtId="204" fontId="7" fillId="9" borderId="0" xfId="0" applyNumberFormat="1" applyFont="1" applyFill="1" applyBorder="1" applyAlignment="1">
      <x:alignment vertical="center"/>
    </x:xf>
    <x:xf numFmtId="204" fontId="6" fillId="9" borderId="0" xfId="0" applyNumberFormat="1" applyFont="1" applyFill="1" applyBorder="1" applyAlignment="1">
      <x:alignment vertical="center"/>
    </x:xf>
    <x:xf numFmtId="0" fontId="7" fillId="10" borderId="0" xfId="0" applyNumberFormat="1" applyFont="1" applyFill="1" applyBorder="1" applyAlignment="1">
      <x:alignment vertical="center"/>
    </x:xf>
    <x:xf numFmtId="0" fontId="7" fillId="10" borderId="0" xfId="0" applyNumberFormat="1" applyFont="1" applyFill="1" applyBorder="1" applyAlignment="1">
      <x:alignment vertical="center" wrapText="1"/>
    </x:xf>
    <x:xf numFmtId="204" fontId="7" fillId="10" borderId="0" xfId="0" applyNumberFormat="1" applyFont="1" applyFill="1" applyBorder="1" applyAlignment="1">
      <x:alignment vertical="center"/>
    </x:xf>
    <x:xf numFmtId="204" fontId="6" fillId="10" borderId="0" xfId="0" applyNumberFormat="1" applyFont="1" applyFill="1" applyBorder="1" applyAlignment="1">
      <x:alignment vertical="center"/>
    </x:xf>
    <x:xf numFmtId="0" fontId="7" fillId="11" borderId="0" xfId="0" applyNumberFormat="1" applyFont="1" applyFill="1" applyBorder="1" applyAlignment="1">
      <x:alignment vertical="center"/>
    </x:xf>
    <x:xf numFmtId="0" fontId="7" fillId="11" borderId="0" xfId="0" applyNumberFormat="1" applyFont="1" applyFill="1" applyBorder="1" applyAlignment="1">
      <x:alignment vertical="center" wrapText="1"/>
    </x:xf>
    <x:xf numFmtId="204" fontId="7" fillId="11" borderId="0" xfId="0" applyNumberFormat="1" applyFont="1" applyFill="1" applyBorder="1" applyAlignment="1">
      <x:alignment vertical="center"/>
    </x:xf>
    <x:xf numFmtId="204" fontId="6" fillId="11" borderId="0" xfId="0" applyNumberFormat="1" applyFont="1" applyFill="1" applyBorder="1" applyAlignment="1">
      <x:alignment vertical="center"/>
    </x:xf>
    <x:xf numFmtId="204" fontId="7" fillId="0" borderId="0" xfId="0" applyNumberFormat="1" applyFont="1" applyFill="1" applyBorder="1" applyAlignment="1">
      <x:alignment vertical="center"/>
    </x:xf>
    <x:xf numFmtId="204" fontId="6" fillId="0" borderId="0" xfId="0" applyNumberFormat="1" applyFont="1" applyFill="1" applyBorder="1" applyAlignment="1">
      <x:alignment vertical="center"/>
    </x:xf>
    <x:xf numFmtId="0" fontId="6" fillId="9" borderId="0" xfId="0" applyNumberFormat="1" applyFont="1" applyFill="1" applyBorder="1" applyAlignment="1">
      <x:alignment vertical="center"/>
    </x:xf>
    <x:xf numFmtId="0" fontId="6" fillId="9" borderId="0" xfId="0" applyNumberFormat="1" applyFont="1" applyFill="1" applyBorder="1" applyAlignment="1">
      <x:alignment vertical="center" wrapText="1"/>
    </x:xf>
    <x:xf numFmtId="0" fontId="6" fillId="6" borderId="0" xfId="0" applyNumberFormat="1" applyFont="1" applyFill="1" applyBorder="1" applyAlignment="1">
      <x:alignment vertical="center" wrapText="1"/>
    </x:xf>
    <x:xf numFmtId="204" fontId="7" fillId="9" borderId="0" xfId="0" applyNumberFormat="1" applyFont="1" applyFill="1" applyBorder="1" applyAlignment="1">
      <x:alignment vertical="center" wrapText="1"/>
    </x:xf>
    <x:xf numFmtId="204" fontId="6" fillId="9" borderId="0" xfId="0" applyNumberFormat="1" applyFont="1" applyFill="1" applyBorder="1" applyAlignment="1">
      <x:alignment vertical="center" wrapText="1"/>
    </x:xf>
    <x:xf numFmtId="204" fontId="7" fillId="10" borderId="0" xfId="0" applyNumberFormat="1" applyFont="1" applyFill="1" applyBorder="1" applyAlignment="1">
      <x:alignment vertical="center" wrapText="1"/>
    </x:xf>
    <x:xf numFmtId="204" fontId="6" fillId="10" borderId="0" xfId="0" applyNumberFormat="1" applyFont="1" applyFill="1" applyBorder="1" applyAlignment="1">
      <x:alignment vertical="center" wrapText="1"/>
    </x:xf>
    <x:xf numFmtId="204" fontId="7" fillId="11" borderId="0" xfId="0" applyNumberFormat="1" applyFont="1" applyFill="1" applyBorder="1" applyAlignment="1">
      <x:alignment vertical="center" wrapText="1"/>
    </x:xf>
    <x:xf numFmtId="204" fontId="6" fillId="11" borderId="0" xfId="0" applyNumberFormat="1" applyFont="1" applyFill="1" applyBorder="1" applyAlignment="1">
      <x:alignment vertical="center" wrapText="1"/>
    </x:xf>
    <x:xf numFmtId="204" fontId="7" fillId="0" borderId="0" xfId="0" applyNumberFormat="1" applyFont="1" applyFill="1" applyBorder="1" applyAlignment="1">
      <x:alignment vertical="center" wrapText="1"/>
    </x:xf>
    <x:xf numFmtId="204" fontId="6" fillId="0" borderId="0" xfId="0" applyNumberFormat="1" applyFont="1" applyFill="1" applyBorder="1" applyAlignment="1">
      <x:alignment vertical="center" wrapText="1"/>
    </x:xf>
    <x:xf numFmtId="0" fontId="7" fillId="9" borderId="2" xfId="0" applyNumberFormat="1" applyFont="1" applyFill="1" applyBorder="1" applyAlignment="1">
      <x:alignment vertical="center" wrapText="1"/>
    </x:xf>
    <x:xf numFmtId="204" fontId="7" fillId="9" borderId="2" xfId="0" applyNumberFormat="1" applyFont="1" applyFill="1" applyBorder="1" applyAlignment="1">
      <x:alignment vertical="center" wrapText="1"/>
    </x:xf>
    <x:xf numFmtId="204" fontId="6" fillId="9" borderId="2" xfId="0" applyNumberFormat="1" applyFont="1" applyFill="1" applyBorder="1" applyAlignment="1">
      <x:alignment vertical="center" wrapText="1"/>
    </x:xf>
    <x:xf numFmtId="0" fontId="7" fillId="10" borderId="2" xfId="0" applyNumberFormat="1" applyFont="1" applyFill="1" applyBorder="1" applyAlignment="1">
      <x:alignment vertical="center" wrapText="1"/>
    </x:xf>
    <x:xf numFmtId="204" fontId="7" fillId="10" borderId="2" xfId="0" applyNumberFormat="1" applyFont="1" applyFill="1" applyBorder="1" applyAlignment="1">
      <x:alignment vertical="center" wrapText="1"/>
    </x:xf>
    <x:xf numFmtId="204" fontId="6" fillId="10" borderId="2" xfId="0" applyNumberFormat="1" applyFont="1" applyFill="1" applyBorder="1" applyAlignment="1">
      <x:alignment vertical="center" wrapText="1"/>
    </x:xf>
    <x:xf numFmtId="0" fontId="7" fillId="11" borderId="2" xfId="0" applyNumberFormat="1" applyFont="1" applyFill="1" applyBorder="1" applyAlignment="1">
      <x:alignment vertical="center" wrapText="1"/>
    </x:xf>
    <x:xf numFmtId="204" fontId="7" fillId="11" borderId="2" xfId="0" applyNumberFormat="1" applyFont="1" applyFill="1" applyBorder="1" applyAlignment="1">
      <x:alignment vertical="center" wrapText="1"/>
    </x:xf>
    <x:xf numFmtId="204" fontId="6" fillId="11" borderId="2" xfId="0" applyNumberFormat="1" applyFont="1" applyFill="1" applyBorder="1" applyAlignment="1">
      <x:alignment vertical="center" wrapText="1"/>
    </x:xf>
    <x:xf numFmtId="204" fontId="7" fillId="0" borderId="2" xfId="0" applyNumberFormat="1" applyFont="1" applyFill="1" applyBorder="1" applyAlignment="1">
      <x:alignment vertical="center" wrapText="1"/>
    </x:xf>
    <x:xf numFmtId="204" fontId="6" fillId="0" borderId="2" xfId="0" applyNumberFormat="1" applyFont="1" applyFill="1" applyBorder="1" applyAlignment="1">
      <x:alignment vertical="center" wrapText="1"/>
    </x:xf>
    <x:xf numFmtId="0" fontId="6" fillId="9" borderId="2" xfId="0" applyNumberFormat="1" applyFont="1" applyFill="1" applyBorder="1" applyAlignment="1">
      <x:alignment vertical="center" wrapText="1"/>
    </x:xf>
    <x:xf numFmtId="207" fontId="7" fillId="9" borderId="2" xfId="0" applyNumberFormat="1" applyFont="1" applyFill="1" applyBorder="1" applyAlignment="1">
      <x:alignment vertical="center" wrapText="1"/>
    </x:xf>
    <x:xf numFmtId="207" fontId="6" fillId="9" borderId="2" xfId="0" applyNumberFormat="1" applyFont="1" applyFill="1" applyBorder="1" applyAlignment="1">
      <x:alignment vertical="center" wrapText="1"/>
    </x:xf>
    <x:xf numFmtId="207" fontId="7" fillId="10" borderId="2" xfId="0" applyNumberFormat="1" applyFont="1" applyFill="1" applyBorder="1" applyAlignment="1">
      <x:alignment vertical="center" wrapText="1"/>
    </x:xf>
    <x:xf numFmtId="207" fontId="6" fillId="10" borderId="2" xfId="0" applyNumberFormat="1" applyFont="1" applyFill="1" applyBorder="1" applyAlignment="1">
      <x:alignment vertical="center" wrapText="1"/>
    </x:xf>
    <x:xf numFmtId="207" fontId="7" fillId="11" borderId="2" xfId="0" applyNumberFormat="1" applyFont="1" applyFill="1" applyBorder="1" applyAlignment="1">
      <x:alignment vertical="center" wrapText="1"/>
    </x:xf>
    <x:xf numFmtId="207" fontId="6" fillId="11" borderId="2" xfId="0" applyNumberFormat="1" applyFont="1" applyFill="1" applyBorder="1" applyAlignment="1">
      <x:alignment vertical="center" wrapText="1"/>
    </x:xf>
    <x:xf numFmtId="0" fontId="6" fillId="11" borderId="0" xfId="0" applyNumberFormat="1" applyFont="1" applyFill="1" applyBorder="1"/>
    <x:xf numFmtId="0" fontId="7" fillId="5" borderId="0" xfId="0" applyNumberFormat="1" applyFont="1" applyFill="1" applyBorder="1"/>
    <x:xf numFmtId="0" fontId="6" fillId="11" borderId="0" xfId="0" applyNumberFormat="1" applyFont="1" applyFill="1" applyBorder="1" applyAlignment="1">
      <x:alignment vertical="center"/>
    </x:xf>
    <x:xf numFmtId="0" fontId="7" fillId="5" borderId="0" xfId="0" applyNumberFormat="1" applyFont="1" applyFill="1" applyBorder="1" applyAlignment="1">
      <x:alignment vertical="center"/>
    </x:xf>
    <x:xf numFmtId="0" fontId="6" fillId="11" borderId="0" xfId="0" applyNumberFormat="1" applyFont="1" applyFill="1" applyBorder="1" applyAlignment="1">
      <x:alignment vertical="center" wrapText="1"/>
    </x:xf>
    <x:xf numFmtId="0" fontId="7" fillId="5" borderId="0" xfId="0" applyNumberFormat="1" applyFont="1" applyFill="1" applyBorder="1" applyAlignment="1">
      <x:alignment vertical="center" wrapText="1"/>
    </x:xf>
    <x:xf numFmtId="0" fontId="6" fillId="11" borderId="2" xfId="0" applyNumberFormat="1" applyFont="1" applyFill="1" applyBorder="1" applyAlignment="1">
      <x:alignment vertical="center" wrapText="1"/>
    </x:xf>
    <x:xf numFmtId="0" fontId="7" fillId="13" borderId="2" xfId="0" applyNumberFormat="1" applyFont="1" applyFill="1" applyBorder="1" applyAlignment="1">
      <x:alignment vertical="center" wrapText="1"/>
    </x:xf>
    <x:xf numFmtId="0" fontId="6" fillId="13" borderId="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e191c0cee44a24" /><Relationship Type="http://schemas.openxmlformats.org/officeDocument/2006/relationships/theme" Target="/xl/theme/theme1.xml" Id="R9d843e52e41d4a78" /><Relationship Type="http://schemas.openxmlformats.org/officeDocument/2006/relationships/sharedStrings" Target="/xl/sharedStrings.xml" Id="R03b60992887c4769" /><Relationship Type="http://schemas.openxmlformats.org/officeDocument/2006/relationships/worksheet" Target="/xl/worksheets/sheet1.xml" Id="R675a2e2e0b724f43" /><Relationship Type="http://schemas.openxmlformats.org/officeDocument/2006/relationships/worksheet" Target="/xl/worksheets/sheet2.xml" Id="R5faea504d81a4b14" /><Relationship Type="http://schemas.openxmlformats.org/officeDocument/2006/relationships/worksheet" Target="/xl/worksheets/sheet3.xml" Id="R7d6eb92943234f7e" /><Relationship Type="http://schemas.openxmlformats.org/officeDocument/2006/relationships/worksheet" Target="/xl/worksheets/sheet4.xml" Id="R913717175779466b" /><Relationship Type="http://schemas.openxmlformats.org/officeDocument/2006/relationships/worksheet" Target="/xl/worksheets/sheet5.xml" Id="Rc0d1b6392aa44c10" /><Relationship Type="http://schemas.openxmlformats.org/officeDocument/2006/relationships/worksheet" Target="/xl/worksheets/sheet6.xml" Id="R795ef286ab6d4d22" /><Relationship Type="http://schemas.openxmlformats.org/officeDocument/2006/relationships/worksheet" Target="/xl/worksheets/sheet7.xml" Id="R55b7e4a7562642c3" /><Relationship Type="http://schemas.openxmlformats.org/officeDocument/2006/relationships/worksheet" Target="/xl/worksheets/sheet8.xml" Id="Ra496d3f4d1394f42" /><Relationship Type="http://schemas.openxmlformats.org/officeDocument/2006/relationships/worksheet" Target="/xl/worksheets/sheet9.xml" Id="R5fb2e2e9d2f94845" /><Relationship Type="http://schemas.openxmlformats.org/officeDocument/2006/relationships/worksheet" Target="/xl/worksheets/sheet10.xml" Id="R9465b3bb73b94dbf" /><Relationship Type="http://schemas.openxmlformats.org/officeDocument/2006/relationships/worksheet" Target="/xl/worksheets/sheet11.xml" Id="R5d8d43c22d77456b" /><Relationship Type="http://schemas.openxmlformats.org/officeDocument/2006/relationships/worksheet" Target="/xl/worksheets/sheet12.xml" Id="Rd3738a983acf4c2d" /><Relationship Type="http://schemas.openxmlformats.org/officeDocument/2006/relationships/worksheet" Target="/xl/worksheets/sheet13.xml" Id="R9ebf005396ab42a9" /><Relationship Type="http://schemas.openxmlformats.org/officeDocument/2006/relationships/worksheet" Target="/xl/worksheets/sheet14.xml" Id="Ra399fcb89f3f46d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" hidden="0" customWidth="1"/>
    <x:col min="2" max="2" width="28" hidden="0" customWidth="1"/>
    <x:col min="3" max="3" width="64" hidden="0" customWidth="1"/>
  </x:cols>
  <x:sheetData>
    <x:row r="2">
      <x:c r="B2" s="24" t="str">
        <x:v>Bad Boss Business School Budget Review</x:v>
      </x:c>
      <x:c r="C2" s="25"/>
      <x:c r="D2" s="25"/>
      <x:c r="E2" s="25"/>
      <x:c r="F2" s="25"/>
      <x:c r="G2" s="25"/>
      <x:c r="H2" s="25"/>
      <x:c r="I2" s="25"/>
      <x:c r="J2" s="25"/>
    </x:row>
    <x:row r="3">
      <x:c r="B3" s="26" t="str">
        <x:v>Student workbook. EUR, excluding VAT unless stated otherwise.</x:v>
      </x:c>
      <x:c r="C3" s="26"/>
      <x:c r="D3" s="26"/>
      <x:c r="E3" s="26"/>
      <x:c r="F3" s="26"/>
      <x:c r="G3" s="26"/>
      <x:c r="H3" s="26"/>
      <x:c r="I3" s="26"/>
      <x:c r="J3" s="26"/>
    </x:row>
    <x:row r="4">
      <x:c r="B4" s="27"/>
      <x:c r="C4" s="27"/>
      <x:c r="D4" s="27"/>
      <x:c r="E4" s="27"/>
      <x:c r="F4" s="27"/>
      <x:c r="G4" s="27"/>
      <x:c r="H4" s="27"/>
      <x:c r="I4" s="27"/>
      <x:c r="J4" s="27"/>
    </x:row>
    <x:row r="5">
      <x:c r="B5" s="27"/>
      <x:c r="C5" s="27"/>
      <x:c r="D5" s="27"/>
      <x:c r="E5" s="27"/>
      <x:c r="F5" s="27"/>
      <x:c r="G5" s="27"/>
      <x:c r="H5" s="27"/>
      <x:c r="I5" s="27"/>
      <x:c r="J5" s="27"/>
    </x:row>
    <x:row r="6">
      <x:c r="B6" s="8" t="str">
        <x:v>Colour</x:v>
      </x:c>
      <x:c r="C6" s="8" t="str">
        <x:v>Meaning</x:v>
      </x:c>
      <x:c r="D6" s="27"/>
      <x:c r="E6" s="27"/>
      <x:c r="F6" s="27"/>
      <x:c r="G6" s="27"/>
      <x:c r="H6" s="27"/>
      <x:c r="I6" s="27"/>
      <x:c r="J6" s="27"/>
    </x:row>
    <x:row r="7">
      <x:c r="B7" s="28" t="str">
        <x:v>Blue text</x:v>
      </x:c>
      <x:c r="C7" s="29" t="str">
        <x:v>Manual inputs supplied by departments</x:v>
      </x:c>
      <x:c r="D7" s="27"/>
      <x:c r="E7" s="27"/>
      <x:c r="F7" s="27"/>
      <x:c r="G7" s="27"/>
      <x:c r="H7" s="27"/>
      <x:c r="I7" s="27"/>
      <x:c r="J7" s="27"/>
    </x:row>
    <x:row r="8">
      <x:c r="B8" s="28" t="str">
        <x:v>Green text</x:v>
      </x:c>
      <x:c r="C8" s="29" t="str">
        <x:v>Links to another worksheet</x:v>
      </x:c>
      <x:c r="D8" s="27"/>
      <x:c r="E8" s="27"/>
      <x:c r="F8" s="27"/>
      <x:c r="G8" s="27"/>
      <x:c r="H8" s="27"/>
      <x:c r="I8" s="27"/>
      <x:c r="J8" s="27"/>
    </x:row>
    <x:row r="9">
      <x:c r="B9" s="28" t="str">
        <x:v>Black text</x:v>
      </x:c>
      <x:c r="C9" s="29" t="str">
        <x:v>Formulas calculated on the same worksheet</x:v>
      </x:c>
      <x:c r="D9" s="27"/>
      <x:c r="E9" s="27"/>
      <x:c r="F9" s="27"/>
      <x:c r="G9" s="27"/>
      <x:c r="H9" s="27"/>
      <x:c r="I9" s="27"/>
      <x:c r="J9" s="27"/>
    </x:row>
    <x:row r="10">
      <x:c r="B10" s="28" t="str">
        <x:v>Yellow fill</x:v>
      </x:c>
      <x:c r="C10" s="29" t="str">
        <x:v>Student working area</x:v>
      </x:c>
      <x:c r="D10" s="27"/>
      <x:c r="E10" s="27"/>
      <x:c r="F10" s="27"/>
      <x:c r="G10" s="27"/>
      <x:c r="H10" s="27"/>
      <x:c r="I10" s="27"/>
      <x:c r="J10" s="27"/>
    </x:row>
    <x:row r="11">
      <x:c r="B11" s="27"/>
      <x:c r="C11" s="27"/>
      <x:c r="D11" s="27"/>
      <x:c r="E11" s="27"/>
      <x:c r="F11" s="27"/>
      <x:c r="G11" s="27"/>
      <x:c r="H11" s="27"/>
      <x:c r="I11" s="27"/>
      <x:c r="J11" s="27"/>
    </x:row>
    <x:row r="12">
      <x:c r="B12" s="30" t="str">
        <x:v>What the workbook contains</x:v>
      </x:c>
      <x:c r="C12" s="27"/>
      <x:c r="D12" s="27"/>
      <x:c r="E12" s="27"/>
      <x:c r="F12" s="27"/>
      <x:c r="G12" s="27"/>
      <x:c r="H12" s="27"/>
      <x:c r="I12" s="27"/>
      <x:c r="J12" s="27"/>
    </x:row>
    <x:row r="13">
      <x:c r="B13" s="27" t="str">
        <x:v>Prior-year financial, sales, marketing and operational results</x:v>
      </x:c>
      <x:c r="C13" s="27"/>
      <x:c r="D13" s="27"/>
      <x:c r="E13" s="27"/>
      <x:c r="F13" s="27"/>
      <x:c r="G13" s="27"/>
      <x:c r="H13" s="27"/>
      <x:c r="I13" s="27"/>
      <x:c r="J13" s="27"/>
    </x:row>
    <x:row r="14">
      <x:c r="B14" s="27" t="str">
        <x:v>The sales director's draft revenue budget</x:v>
      </x:c>
      <x:c r="C14" s="27"/>
      <x:c r="D14" s="27"/>
      <x:c r="E14" s="27"/>
      <x:c r="F14" s="27"/>
      <x:c r="G14" s="27"/>
      <x:c r="H14" s="27"/>
      <x:c r="I14" s="27"/>
      <x:c r="J14" s="27"/>
    </x:row>
    <x:row r="15">
      <x:c r="B15" s="27" t="str">
        <x:v>The operations director's planned-program register</x:v>
      </x:c>
      <x:c r="C15" s="27"/>
      <x:c r="D15" s="27"/>
      <x:c r="E15" s="27"/>
      <x:c r="F15" s="27"/>
      <x:c r="G15" s="27"/>
      <x:c r="H15" s="27"/>
      <x:c r="I15" s="27"/>
      <x:c r="J15" s="27"/>
    </x:row>
    <x:row r="16">
      <x:c r="B16" s="27" t="str">
        <x:v>The finance director's operating-expense budget</x:v>
      </x:c>
      <x:c r="C16" s="27"/>
      <x:c r="D16" s="27"/>
      <x:c r="E16" s="27"/>
      <x:c r="F16" s="27"/>
      <x:c r="G16" s="27"/>
      <x:c r="H16" s="27"/>
      <x:c r="I16" s="27"/>
      <x:c r="J16" s="27"/>
    </x:row>
    <x:row r="17">
      <x:c r="B17" s="27" t="str">
        <x:v>The resulting draft profit and loss statement</x:v>
      </x:c>
      <x:c r="C17" s="27"/>
      <x:c r="D17" s="27"/>
      <x:c r="E17" s="27"/>
      <x:c r="F17" s="27"/>
      <x:c r="G17" s="27"/>
      <x:c r="H17" s="27"/>
      <x:c r="I17" s="27"/>
      <x:c r="J17" s="27"/>
    </x:row>
    <x:row r="18">
      <x:c r="B18" s="27" t="str">
        <x:v>Two tasks: first correct the forecast, then decide how to improve the business.</x:v>
      </x:c>
      <x:c r="C18" s="27"/>
      <x:c r="D18" s="27"/>
      <x:c r="E18" s="27"/>
      <x:c r="F18" s="27"/>
      <x:c r="G18" s="27"/>
      <x:c r="H18" s="27"/>
      <x:c r="I18" s="27"/>
      <x:c r="J18" s="27"/>
    </x:row>
    <x:row r="19">
      <x:c r="B19" s="27" t="str">
        <x:v>Work in sheets 09–13. Keep source sheets 01–08 unchanged.</x:v>
      </x:c>
      <x:c r="C19" s="27"/>
      <x:c r="D19" s="27"/>
      <x:c r="E19" s="27"/>
      <x:c r="F19" s="27"/>
      <x:c r="G19" s="27"/>
      <x:c r="H19" s="27"/>
      <x:c r="I19" s="27"/>
      <x:c r="J19" s="27"/>
    </x:row>
    <x:row r="20">
      <x:c r="B20" s="27"/>
      <x:c r="C20" s="27"/>
      <x:c r="D20" s="27"/>
      <x:c r="E20" s="27"/>
      <x:c r="F20" s="27"/>
      <x:c r="G20" s="27"/>
      <x:c r="H20" s="27"/>
      <x:c r="I20" s="27"/>
      <x:c r="J20" s="27"/>
    </x:row>
    <x:row r="21">
      <x:c r="B21" s="30" t="str">
        <x:v>Part 1  Red-pencil correction</x:v>
      </x:c>
      <x:c r="C21" s="27"/>
      <x:c r="D21" s="27"/>
      <x:c r="E21" s="27"/>
      <x:c r="F21" s="27"/>
      <x:c r="G21" s="27"/>
      <x:c r="H21" s="27"/>
      <x:c r="I21" s="27"/>
      <x:c r="J21" s="27"/>
    </x:row>
    <x:row r="22" ht="24" customHeight="1">
      <x:c r="B22" s="31" t="str">
        <x:v>In 10 Corrected Budget, calculate the monthly result if existing decisions remain unchanged. Correct unsupported estimates using the case evidence; do not introduce new actions to improve performance.</x:v>
      </x:c>
      <x:c r="C22" s="31"/>
      <x:c r="D22" s="31"/>
      <x:c r="E22" s="31"/>
      <x:c r="F22" s="31"/>
      <x:c r="G22" s="31"/>
      <x:c r="H22" s="31"/>
      <x:c r="I22" s="31"/>
      <x:c r="J22" s="31"/>
    </x:row>
    <x:row r="23" ht="24" customHeight="1">
      <x:c r="B23" s="31"/>
      <x:c r="C23" s="31"/>
      <x:c r="D23" s="31"/>
      <x:c r="E23" s="31"/>
      <x:c r="F23" s="31"/>
      <x:c r="G23" s="31"/>
      <x:c r="H23" s="31"/>
      <x:c r="I23" s="31"/>
      <x:c r="J23" s="31"/>
    </x:row>
    <x:row r="25" ht="19" customHeight="1">
      <x:c r="B25" s="9" t="str">
        <x:v>Part 2  Management decisions and budget</x:v>
      </x:c>
      <x:c r="C25" s="9"/>
      <x:c r="D25" s="9"/>
      <x:c r="E25" s="9"/>
      <x:c r="F25" s="9"/>
      <x:c r="G25" s="9"/>
      <x:c r="H25" s="9"/>
      <x:c r="I25" s="9"/>
      <x:c r="J25" s="9"/>
    </x:row>
    <x:row r="26" ht="19" customHeight="1">
      <x:c r="B26" s="105" t="str">
        <x:v>Record your decisions in 11 Management Recommendation, including timing, costs and expected effects. Then build the resulting monthly P&amp;L in 12 Management Budget. Keep Part 1 intact.</x:v>
      </x:c>
      <x:c r="C26" s="105"/>
      <x:c r="D26" s="105"/>
      <x:c r="E26" s="105"/>
      <x:c r="F26" s="105"/>
      <x:c r="G26" s="105"/>
      <x:c r="H26" s="105"/>
      <x:c r="I26" s="105"/>
      <x:c r="J26" s="105"/>
    </x:row>
    <x:row r="27" ht="19" customHeight="1">
      <x:c r="B27" s="105"/>
      <x:c r="C27" s="105"/>
      <x:c r="D27" s="105"/>
      <x:c r="E27" s="105"/>
      <x:c r="F27" s="105"/>
      <x:c r="G27" s="105"/>
      <x:c r="H27" s="105"/>
      <x:c r="I27" s="105"/>
      <x:c r="J27" s="105"/>
    </x:row>
    <x:row r="28" ht="19" customHeight="1">
      <x:c r="B28" s="105"/>
      <x:c r="C28" s="105"/>
      <x:c r="D28" s="105"/>
      <x:c r="E28" s="105"/>
      <x:c r="F28" s="105"/>
      <x:c r="G28" s="105"/>
      <x:c r="H28" s="105"/>
      <x:c r="I28" s="105"/>
      <x:c r="J28" s="105"/>
    </x:row>
    <x:row r="29" ht="19" customHeight="1">
      <x:c r="B29" s="103"/>
      <x:c r="C29" s="103"/>
      <x:c r="D29" s="103"/>
      <x:c r="E29" s="103"/>
      <x:c r="F29" s="103"/>
      <x:c r="G29" s="103"/>
      <x:c r="H29" s="103"/>
      <x:c r="I29" s="103"/>
      <x:c r="J29" s="103"/>
    </x:row>
    <x:row r="30" ht="19" customHeight="1">
      <x:c r="B30" s="9" t="str">
        <x:v>Compare the three versions</x:v>
      </x:c>
      <x:c r="C30" s="9"/>
      <x:c r="D30" s="9"/>
      <x:c r="E30" s="9"/>
      <x:c r="F30" s="9"/>
      <x:c r="G30" s="9"/>
      <x:c r="H30" s="9"/>
      <x:c r="I30" s="9"/>
      <x:c r="J30" s="9"/>
    </x:row>
    <x:row r="31" ht="19" customHeight="1">
      <x:c r="B31" s="105" t="str">
        <x:v>13 Monthly Comparison links the original draft, Part 1 and Part 2. Use the same January–December columns and annual totals. Explain corrections and management decisions separately.</x:v>
      </x:c>
      <x:c r="C31" s="105"/>
      <x:c r="D31" s="105"/>
      <x:c r="E31" s="105"/>
      <x:c r="F31" s="105"/>
      <x:c r="G31" s="105"/>
      <x:c r="H31" s="105"/>
      <x:c r="I31" s="105"/>
      <x:c r="J31" s="105"/>
    </x:row>
    <x:row r="32" ht="19" customHeight="1">
      <x:c r="B32" s="105"/>
      <x:c r="C32" s="105"/>
      <x:c r="D32" s="105"/>
      <x:c r="E32" s="105"/>
      <x:c r="F32" s="105"/>
      <x:c r="G32" s="105"/>
      <x:c r="H32" s="105"/>
      <x:c r="I32" s="105"/>
      <x:c r="J32" s="105"/>
    </x:row>
    <x:row r="33" ht="19" customHeight="1">
      <x:c r="B33" s="105"/>
      <x:c r="C33" s="105"/>
      <x:c r="D33" s="105"/>
      <x:c r="E33" s="105"/>
      <x:c r="F33" s="105"/>
      <x:c r="G33" s="105"/>
      <x:c r="H33" s="105"/>
      <x:c r="I33" s="105"/>
      <x:c r="J33" s="105"/>
    </x:row>
    <x:row r="34" ht="19" customHeight="1">
      <x:c r="B34" s="103"/>
      <x:c r="C34" s="103"/>
      <x:c r="D34" s="103"/>
      <x:c r="E34" s="103"/>
      <x:c r="F34" s="103"/>
      <x:c r="G34" s="103"/>
      <x:c r="H34" s="103"/>
      <x:c r="I34" s="103"/>
      <x:c r="J34" s="103"/>
    </x:row>
    <x:row r="35" ht="19" customHeight="1">
      <x:c r="B35" s="105" t="str">
        <x:v>Use 09 Assumption Review to record evidence, uncertainties and whether a change is a correction or a new decision. Submit one workbook containing both budgets, their supporting calculations and the comparison.</x:v>
      </x:c>
      <x:c r="C35" s="105"/>
      <x:c r="D35" s="105"/>
      <x:c r="E35" s="105"/>
      <x:c r="F35" s="105"/>
      <x:c r="G35" s="105"/>
      <x:c r="H35" s="105"/>
      <x:c r="I35" s="105"/>
      <x:c r="J35" s="105"/>
    </x:row>
    <x:row r="36" ht="19" customHeight="1">
      <x:c r="B36" s="105"/>
      <x:c r="C36" s="105"/>
      <x:c r="D36" s="105"/>
      <x:c r="E36" s="105"/>
      <x:c r="F36" s="105"/>
      <x:c r="G36" s="105"/>
      <x:c r="H36" s="105"/>
      <x:c r="I36" s="105"/>
      <x:c r="J36" s="105"/>
    </x:row>
    <x:row r="37" ht="19" customHeight="1">
      <x:c r="B37" s="105"/>
      <x:c r="C37" s="105"/>
      <x:c r="D37" s="105"/>
      <x:c r="E37" s="105"/>
      <x:c r="F37" s="105"/>
      <x:c r="G37" s="105"/>
      <x:c r="H37" s="105"/>
      <x:c r="I37" s="105"/>
      <x:c r="J37" s="105"/>
    </x:row>
  </x:sheetData>
  <x:mergeCells>
    <x:mergeCell ref="B22:J23"/>
    <x:mergeCell ref="B26:J28"/>
    <x:mergeCell ref="B31:J33"/>
    <x:mergeCell ref="B35:J3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" hidden="0" customWidth="1"/>
    <x:col min="2" max="2" width="24" hidden="0" customWidth="1"/>
    <x:col min="3" max="3" width="2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4" hidden="0" customWidth="1"/>
  </x:cols>
  <x:sheetData>
    <x:row r="2">
      <x:c r="B2" s="24" t="str">
        <x:v>Prior Year Profit and Loss</x:v>
      </x:c>
      <x:c r="C2" s="25"/>
      <x:c r="D2" s="25"/>
      <x:c r="E2" s="25"/>
      <x:c r="F2" s="25"/>
      <x:c r="G2" s="25"/>
      <x:c r="H2" s="25"/>
      <x:c r="I2" s="25"/>
      <x:c r="J2" s="25"/>
      <x:c r="K2" s="25"/>
      <x:c r="L2" s="25"/>
      <x:c r="M2" s="25"/>
      <x:c r="N2" s="25"/>
      <x:c r="O2" s="25"/>
      <x:c r="P2" s="25"/>
    </x:row>
    <x:row r="3">
      <x:c r="B3" s="26" t="str">
        <x:v>2025 actual monthly results. EUR excluding VAT.</x:v>
      </x:c>
      <x:c r="C3" s="26"/>
      <x:c r="D3" s="26"/>
      <x:c r="E3" s="26"/>
      <x:c r="F3" s="26"/>
      <x:c r="G3" s="26"/>
      <x:c r="H3" s="26"/>
      <x:c r="I3" s="26"/>
      <x:c r="J3" s="26"/>
      <x:c r="K3" s="26"/>
      <x:c r="L3" s="26"/>
      <x:c r="M3" s="26"/>
      <x:c r="N3" s="26"/>
      <x:c r="O3" s="26"/>
      <x:c r="P3" s="26"/>
    </x:row>
    <x:row r="4">
      <x:c r="B4" s="27"/>
      <x:c r="C4" s="27"/>
      <x:c r="D4" s="27"/>
      <x:c r="E4" s="27"/>
      <x:c r="F4" s="27"/>
      <x:c r="G4" s="27"/>
      <x:c r="H4" s="27"/>
      <x:c r="I4" s="27"/>
      <x:c r="J4" s="27"/>
      <x:c r="K4" s="27"/>
      <x:c r="L4" s="27"/>
      <x:c r="M4" s="27"/>
      <x:c r="N4" s="27"/>
      <x:c r="O4" s="27"/>
      <x:c r="P4" s="27"/>
    </x:row>
    <x:row r="5">
      <x:c r="B5" s="27"/>
      <x:c r="C5" s="27"/>
      <x:c r="D5" s="27"/>
      <x:c r="E5" s="27"/>
      <x:c r="F5" s="27"/>
      <x:c r="G5" s="27"/>
      <x:c r="H5" s="27"/>
      <x:c r="I5" s="27"/>
      <x:c r="J5" s="27"/>
      <x:c r="K5" s="27"/>
      <x:c r="L5" s="27"/>
      <x:c r="M5" s="27"/>
      <x:c r="N5" s="27"/>
      <x:c r="O5" s="27"/>
      <x:c r="P5" s="27"/>
    </x:row>
    <x:row r="6">
      <x:c r="B6" s="8" t="str">
        <x:v>P&amp;L line</x:v>
      </x:c>
      <x:c r="C6" s="8" t="str">
        <x:v>Type</x:v>
      </x:c>
      <x:c r="D6" s="8" t="str">
        <x:v>Jan</x:v>
      </x:c>
      <x:c r="E6" s="8" t="str">
        <x:v>Feb</x:v>
      </x:c>
      <x:c r="F6" s="8" t="str">
        <x:v>Mar</x:v>
      </x:c>
      <x:c r="G6" s="8" t="str">
        <x:v>Apr</x:v>
      </x:c>
      <x:c r="H6" s="8" t="str">
        <x:v>May</x:v>
      </x:c>
      <x:c r="I6" s="8" t="str">
        <x:v>Jun</x:v>
      </x:c>
      <x:c r="J6" s="8" t="str">
        <x:v>Jul</x:v>
      </x:c>
      <x:c r="K6" s="8" t="str">
        <x:v>Aug</x:v>
      </x:c>
      <x:c r="L6" s="8" t="str">
        <x:v>Sep</x:v>
      </x:c>
      <x:c r="M6" s="8" t="str">
        <x:v>Oct</x:v>
      </x:c>
      <x:c r="N6" s="8" t="str">
        <x:v>Nov</x:v>
      </x:c>
      <x:c r="O6" s="8" t="str">
        <x:v>Dec</x:v>
      </x:c>
      <x:c r="P6" s="8" t="str">
        <x:v>FY Total</x:v>
      </x:c>
    </x:row>
    <x:row r="7">
      <x:c r="B7" s="27" t="str">
        <x:v>Revenue</x:v>
      </x:c>
      <x:c r="C7" s="27" t="str">
        <x:v>Sales</x:v>
      </x:c>
      <x:c r="D7" s="40" t="n">
        <x:f>'02 Prior Year Sales'!D20</x:f>
        <x:v>44500</x:v>
      </x:c>
      <x:c r="E7" s="40" t="n">
        <x:f>'02 Prior Year Sales'!E20</x:f>
        <x:v>50500</x:v>
      </x:c>
      <x:c r="F7" s="40" t="n">
        <x:f>'02 Prior Year Sales'!F20</x:f>
        <x:v>45500</x:v>
      </x:c>
      <x:c r="G7" s="40" t="n">
        <x:f>'02 Prior Year Sales'!G20</x:f>
        <x:v>63500</x:v>
      </x:c>
      <x:c r="H7" s="40" t="n">
        <x:f>'02 Prior Year Sales'!H20</x:f>
        <x:v>43000</x:v>
      </x:c>
      <x:c r="I7" s="40" t="n">
        <x:f>'02 Prior Year Sales'!I20</x:f>
        <x:v>29000</x:v>
      </x:c>
      <x:c r="J7" s="40" t="n">
        <x:f>'02 Prior Year Sales'!J20</x:f>
        <x:v>15000</x:v>
      </x:c>
      <x:c r="K7" s="40" t="n">
        <x:f>'02 Prior Year Sales'!K20</x:f>
        <x:v>33000</x:v>
      </x:c>
      <x:c r="L7" s="40" t="n">
        <x:f>'02 Prior Year Sales'!L20</x:f>
        <x:v>60500</x:v>
      </x:c>
      <x:c r="M7" s="40" t="n">
        <x:f>'02 Prior Year Sales'!M20</x:f>
        <x:v>65500</x:v>
      </x:c>
      <x:c r="N7" s="40" t="n">
        <x:f>'02 Prior Year Sales'!N20</x:f>
        <x:v>40000</x:v>
      </x:c>
      <x:c r="O7" s="40" t="n">
        <x:f>'02 Prior Year Sales'!O20</x:f>
        <x:v>38500</x:v>
      </x:c>
      <x:c r="P7" s="40" t="n">
        <x:f>SUM(D7:O7)</x:f>
        <x:v>528500</x:v>
      </x:c>
    </x:row>
    <x:row r="8">
      <x:c r="B8" s="27" t="str">
        <x:v>Direct delivery costs</x:v>
      </x:c>
      <x:c r="C8" s="27" t="str">
        <x:v>Variable and program specific</x:v>
      </x:c>
      <x:c r="D8" s="40" t="n">
        <x:f>-D7*0.4</x:f>
        <x:v>-17800</x:v>
      </x:c>
      <x:c r="E8" s="40" t="n">
        <x:f>-E7*0.41</x:f>
        <x:v>-20705</x:v>
      </x:c>
      <x:c r="F8" s="40" t="n">
        <x:f>-F7*0.39</x:f>
        <x:v>-17745</x:v>
      </x:c>
      <x:c r="G8" s="40" t="n">
        <x:f>-G7*0.42</x:f>
        <x:v>-26670</x:v>
      </x:c>
      <x:c r="H8" s="40" t="n">
        <x:f>-H7*0.41</x:f>
        <x:v>-17630</x:v>
      </x:c>
      <x:c r="I8" s="40" t="n">
        <x:f>-I7*0.4</x:f>
        <x:v>-11600</x:v>
      </x:c>
      <x:c r="J8" s="40" t="n">
        <x:f>-J7*0.43</x:f>
        <x:v>-6450</x:v>
      </x:c>
      <x:c r="K8" s="40" t="n">
        <x:f>-K7*0.42</x:f>
        <x:v>-13860</x:v>
      </x:c>
      <x:c r="L8" s="40" t="n">
        <x:f>-L7*0.39</x:f>
        <x:v>-23595</x:v>
      </x:c>
      <x:c r="M8" s="40" t="n">
        <x:f>-M7*0.4</x:f>
        <x:v>-26200</x:v>
      </x:c>
      <x:c r="N8" s="40" t="n">
        <x:f>-N7*0.41</x:f>
        <x:v>-16400</x:v>
      </x:c>
      <x:c r="O8" s="40" t="n">
        <x:f>-O7*0.4</x:f>
        <x:v>-15400</x:v>
      </x:c>
      <x:c r="P8" s="40" t="n">
        <x:f>SUM(D8:O8)</x:f>
        <x:v>-214055</x:v>
      </x:c>
    </x:row>
    <x:row r="9">
      <x:c r="B9" s="59" t="str">
        <x:v>Contribution</x:v>
      </x:c>
      <x:c r="C9" s="59" t="str"/>
      <x:c r="D9" s="60" t="n">
        <x:f>SUM(D7:D8)</x:f>
        <x:v>26700</x:v>
      </x:c>
      <x:c r="E9" s="60" t="n">
        <x:f>SUM(E7:E8)</x:f>
        <x:v>29795</x:v>
      </x:c>
      <x:c r="F9" s="60" t="n">
        <x:f>SUM(F7:F8)</x:f>
        <x:v>27755</x:v>
      </x:c>
      <x:c r="G9" s="60" t="n">
        <x:f>SUM(G7:G8)</x:f>
        <x:v>36830</x:v>
      </x:c>
      <x:c r="H9" s="60" t="n">
        <x:f>SUM(H7:H8)</x:f>
        <x:v>25370</x:v>
      </x:c>
      <x:c r="I9" s="60" t="n">
        <x:f>SUM(I7:I8)</x:f>
        <x:v>17400</x:v>
      </x:c>
      <x:c r="J9" s="60" t="n">
        <x:f>SUM(J7:J8)</x:f>
        <x:v>8550</x:v>
      </x:c>
      <x:c r="K9" s="60" t="n">
        <x:f>SUM(K7:K8)</x:f>
        <x:v>19140</x:v>
      </x:c>
      <x:c r="L9" s="60" t="n">
        <x:f>SUM(L7:L8)</x:f>
        <x:v>36905</x:v>
      </x:c>
      <x:c r="M9" s="60" t="n">
        <x:f>SUM(M7:M8)</x:f>
        <x:v>39300</x:v>
      </x:c>
      <x:c r="N9" s="60" t="n">
        <x:f>SUM(N7:N8)</x:f>
        <x:v>23600</x:v>
      </x:c>
      <x:c r="O9" s="60" t="n">
        <x:f>SUM(O7:O8)</x:f>
        <x:v>23100</x:v>
      </x:c>
      <x:c r="P9" s="60" t="n">
        <x:f>SUM(D9:O9)</x:f>
        <x:v>314445</x:v>
      </x:c>
    </x:row>
    <x:row r="10">
      <x:c r="B10" s="59" t="str">
        <x:v>Contribution margin</x:v>
      </x:c>
      <x:c r="C10" s="59" t="str"/>
      <x:c r="D10" s="61" t="n">
        <x:f>D9/D7</x:f>
        <x:v>0.6</x:v>
      </x:c>
      <x:c r="E10" s="61" t="n">
        <x:f>E9/E7</x:f>
        <x:v>0.59</x:v>
      </x:c>
      <x:c r="F10" s="61" t="n">
        <x:f>F9/F7</x:f>
        <x:v>0.61</x:v>
      </x:c>
      <x:c r="G10" s="61" t="n">
        <x:f>G9/G7</x:f>
        <x:v>0.58</x:v>
      </x:c>
      <x:c r="H10" s="61" t="n">
        <x:f>H9/H7</x:f>
        <x:v>0.59</x:v>
      </x:c>
      <x:c r="I10" s="61" t="n">
        <x:f>I9/I7</x:f>
        <x:v>0.6</x:v>
      </x:c>
      <x:c r="J10" s="61" t="n">
        <x:f>J9/J7</x:f>
        <x:v>0.57</x:v>
      </x:c>
      <x:c r="K10" s="61" t="n">
        <x:f>K9/K7</x:f>
        <x:v>0.58</x:v>
      </x:c>
      <x:c r="L10" s="61" t="n">
        <x:f>L9/L7</x:f>
        <x:v>0.61</x:v>
      </x:c>
      <x:c r="M10" s="61" t="n">
        <x:f>M9/M7</x:f>
        <x:v>0.6</x:v>
      </x:c>
      <x:c r="N10" s="61" t="n">
        <x:f>N9/N7</x:f>
        <x:v>0.59</x:v>
      </x:c>
      <x:c r="O10" s="61" t="n">
        <x:f>O9/O7</x:f>
        <x:v>0.6</x:v>
      </x:c>
      <x:c r="P10" s="61" t="n">
        <x:f>P9/P7</x:f>
        <x:v>0.5949763481551561</x:v>
      </x:c>
    </x:row>
    <x:row r="11">
      <x:c r="B11" s="27" t="str">
        <x:v>Personnel costs</x:v>
      </x:c>
      <x:c r="C11" s="27" t="str">
        <x:v>Operating expense</x:v>
      </x:c>
      <x:c r="D11" s="40" t="n">
        <x:v>-15000</x:v>
      </x:c>
      <x:c r="E11" s="40" t="n">
        <x:v>-15000</x:v>
      </x:c>
      <x:c r="F11" s="40" t="n">
        <x:v>-15000</x:v>
      </x:c>
      <x:c r="G11" s="40" t="n">
        <x:v>-15000</x:v>
      </x:c>
      <x:c r="H11" s="40" t="n">
        <x:v>-15000</x:v>
      </x:c>
      <x:c r="I11" s="40" t="n">
        <x:v>-15000</x:v>
      </x:c>
      <x:c r="J11" s="40" t="n">
        <x:v>-15000</x:v>
      </x:c>
      <x:c r="K11" s="40" t="n">
        <x:v>-15000</x:v>
      </x:c>
      <x:c r="L11" s="40" t="n">
        <x:v>-15000</x:v>
      </x:c>
      <x:c r="M11" s="40" t="n">
        <x:v>-15000</x:v>
      </x:c>
      <x:c r="N11" s="40" t="n">
        <x:v>-15000</x:v>
      </x:c>
      <x:c r="O11" s="40" t="n">
        <x:v>-15000</x:v>
      </x:c>
      <x:c r="P11" s="40" t="n">
        <x:f>SUM(D11:O11)</x:f>
        <x:v>-180000</x:v>
      </x:c>
    </x:row>
    <x:row r="12">
      <x:c r="B12" s="27" t="str">
        <x:v>Marketing</x:v>
      </x:c>
      <x:c r="C12" s="27" t="str">
        <x:v>Operating expense</x:v>
      </x:c>
      <x:c r="D12" s="40" t="n">
        <x:v>-6000</x:v>
      </x:c>
      <x:c r="E12" s="40" t="n">
        <x:v>-5000</x:v>
      </x:c>
      <x:c r="F12" s="40" t="n">
        <x:v>-6500</x:v>
      </x:c>
      <x:c r="G12" s="40" t="n">
        <x:v>-6500</x:v>
      </x:c>
      <x:c r="H12" s="40" t="n">
        <x:v>-5000</x:v>
      </x:c>
      <x:c r="I12" s="40" t="n">
        <x:v>-4000</x:v>
      </x:c>
      <x:c r="J12" s="40" t="n">
        <x:v>-2500</x:v>
      </x:c>
      <x:c r="K12" s="40" t="n">
        <x:v>-3500</x:v>
      </x:c>
      <x:c r="L12" s="40" t="n">
        <x:v>-7500</x:v>
      </x:c>
      <x:c r="M12" s="40" t="n">
        <x:v>-8000</x:v>
      </x:c>
      <x:c r="N12" s="40" t="n">
        <x:v>-6500</x:v>
      </x:c>
      <x:c r="O12" s="40" t="n">
        <x:v>-4500</x:v>
      </x:c>
      <x:c r="P12" s="40" t="n">
        <x:f>SUM(D12:O12)</x:f>
        <x:v>-65500</x:v>
      </x:c>
    </x:row>
    <x:row r="13">
      <x:c r="B13" s="27" t="str">
        <x:v>Office and administration</x:v>
      </x:c>
      <x:c r="C13" s="27" t="str">
        <x:v>Operating expense</x:v>
      </x:c>
      <x:c r="D13" s="40" t="n">
        <x:v>-6000</x:v>
      </x:c>
      <x:c r="E13" s="40" t="n">
        <x:v>-6000</x:v>
      </x:c>
      <x:c r="F13" s="40" t="n">
        <x:v>-6000</x:v>
      </x:c>
      <x:c r="G13" s="40" t="n">
        <x:v>-6000</x:v>
      </x:c>
      <x:c r="H13" s="40" t="n">
        <x:v>-6000</x:v>
      </x:c>
      <x:c r="I13" s="40" t="n">
        <x:v>-6000</x:v>
      </x:c>
      <x:c r="J13" s="40" t="n">
        <x:v>-6000</x:v>
      </x:c>
      <x:c r="K13" s="40" t="n">
        <x:v>-6000</x:v>
      </x:c>
      <x:c r="L13" s="40" t="n">
        <x:v>-6000</x:v>
      </x:c>
      <x:c r="M13" s="40" t="n">
        <x:v>-6000</x:v>
      </x:c>
      <x:c r="N13" s="40" t="n">
        <x:v>-6000</x:v>
      </x:c>
      <x:c r="O13" s="40" t="n">
        <x:v>-6000</x:v>
      </x:c>
      <x:c r="P13" s="40" t="n">
        <x:f>SUM(D13:O13)</x:f>
        <x:v>-72000</x:v>
      </x:c>
    </x:row>
    <x:row r="14">
      <x:c r="B14" s="27" t="str">
        <x:v>Depreciation and interest</x:v>
      </x:c>
      <x:c r="C14" s="27" t="str">
        <x:v>Operating expense</x:v>
      </x:c>
      <x:c r="D14" s="40" t="n">
        <x:v>-1050</x:v>
      </x:c>
      <x:c r="E14" s="40" t="n">
        <x:v>-1050</x:v>
      </x:c>
      <x:c r="F14" s="40" t="n">
        <x:v>-1050</x:v>
      </x:c>
      <x:c r="G14" s="40" t="n">
        <x:v>-1050</x:v>
      </x:c>
      <x:c r="H14" s="40" t="n">
        <x:v>-1050</x:v>
      </x:c>
      <x:c r="I14" s="40" t="n">
        <x:v>-1050</x:v>
      </x:c>
      <x:c r="J14" s="40" t="n">
        <x:v>-1050</x:v>
      </x:c>
      <x:c r="K14" s="40" t="n">
        <x:v>-1050</x:v>
      </x:c>
      <x:c r="L14" s="40" t="n">
        <x:v>-1050</x:v>
      </x:c>
      <x:c r="M14" s="40" t="n">
        <x:v>-1050</x:v>
      </x:c>
      <x:c r="N14" s="40" t="n">
        <x:v>-1050</x:v>
      </x:c>
      <x:c r="O14" s="40" t="n">
        <x:v>-1050</x:v>
      </x:c>
      <x:c r="P14" s="40" t="n">
        <x:f>SUM(D14:O14)</x:f>
        <x:v>-12600</x:v>
      </x:c>
    </x:row>
    <x:row r="15">
      <x:c r="B15" s="62" t="str">
        <x:v>Operating profit</x:v>
      </x:c>
      <x:c r="C15" s="62" t="str"/>
      <x:c r="D15" s="63" t="n">
        <x:f>SUM(D9,D11:D14)</x:f>
        <x:v>-1350</x:v>
      </x:c>
      <x:c r="E15" s="63" t="n">
        <x:f>SUM(E9,E11:E14)</x:f>
        <x:v>2745</x:v>
      </x:c>
      <x:c r="F15" s="63" t="n">
        <x:f>SUM(F9,F11:F14)</x:f>
        <x:v>-795</x:v>
      </x:c>
      <x:c r="G15" s="63" t="n">
        <x:f>SUM(G9,G11:G14)</x:f>
        <x:v>8280</x:v>
      </x:c>
      <x:c r="H15" s="63" t="n">
        <x:f>SUM(H9,H11:H14)</x:f>
        <x:v>-1680</x:v>
      </x:c>
      <x:c r="I15" s="63" t="n">
        <x:f>SUM(I9,I11:I14)</x:f>
        <x:v>-8650</x:v>
      </x:c>
      <x:c r="J15" s="63" t="n">
        <x:f>SUM(J9,J11:J14)</x:f>
        <x:v>-16000</x:v>
      </x:c>
      <x:c r="K15" s="63" t="n">
        <x:f>SUM(K9,K11:K14)</x:f>
        <x:v>-6410</x:v>
      </x:c>
      <x:c r="L15" s="63" t="n">
        <x:f>SUM(L9,L11:L14)</x:f>
        <x:v>7355</x:v>
      </x:c>
      <x:c r="M15" s="63" t="n">
        <x:f>SUM(M9,M11:M14)</x:f>
        <x:v>9250</x:v>
      </x:c>
      <x:c r="N15" s="63" t="n">
        <x:f>SUM(N9,N11:N14)</x:f>
        <x:v>-4950</x:v>
      </x:c>
      <x:c r="O15" s="63" t="n">
        <x:f>SUM(O9,O11:O14)</x:f>
        <x:v>-3450</x:v>
      </x:c>
      <x:c r="P15" s="63" t="n">
        <x:f>SUM(D15:O15)</x:f>
        <x:v>-15655</x:v>
      </x:c>
    </x:row>
    <x:row r="16">
      <x:c r="B16" s="62" t="str">
        <x:v>Operating margin</x:v>
      </x:c>
      <x:c r="C16" s="62" t="str"/>
      <x:c r="D16" s="64" t="n">
        <x:f>D15/D7</x:f>
        <x:v>-0.030337078651685393</x:v>
      </x:c>
      <x:c r="E16" s="64" t="n">
        <x:f>E15/E7</x:f>
        <x:v>0.054356435643564356</x:v>
      </x:c>
      <x:c r="F16" s="64" t="n">
        <x:f>F15/F7</x:f>
        <x:v>-0.017472527472527474</x:v>
      </x:c>
      <x:c r="G16" s="64" t="n">
        <x:f>G15/G7</x:f>
        <x:v>0.13039370078740156</x:v>
      </x:c>
      <x:c r="H16" s="64" t="n">
        <x:f>H15/H7</x:f>
        <x:v>-0.03906976744186046</x:v>
      </x:c>
      <x:c r="I16" s="64" t="n">
        <x:f>I15/I7</x:f>
        <x:v>-0.2982758620689655</x:v>
      </x:c>
      <x:c r="J16" s="64" t="n">
        <x:f>J15/J7</x:f>
        <x:v>-1.0666666666666667</x:v>
      </x:c>
      <x:c r="K16" s="64" t="n">
        <x:f>K15/K7</x:f>
        <x:v>-0.19424242424242424</x:v>
      </x:c>
      <x:c r="L16" s="64" t="n">
        <x:f>L15/L7</x:f>
        <x:v>0.1215702479338843</x:v>
      </x:c>
      <x:c r="M16" s="64" t="n">
        <x:f>M15/M7</x:f>
        <x:v>0.14122137404580154</x:v>
      </x:c>
      <x:c r="N16" s="64" t="n">
        <x:f>N15/N7</x:f>
        <x:v>-0.12375</x:v>
      </x:c>
      <x:c r="O16" s="64" t="n">
        <x:f>O15/O7</x:f>
        <x:v>-0.08961038961038961</x:v>
      </x:c>
      <x:c r="P16" s="64" t="n">
        <x:f>P15/P7</x:f>
        <x:v>-0.029621570482497635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2" hidden="0" customWidth="1"/>
    <x:col min="2" max="2" width="24" hidden="0" customWidth="1"/>
    <x:col min="3" max="3" width="2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4" hidden="0" customWidth="1"/>
  </x:cols>
  <x:sheetData>
    <x:row r="2">
      <x:c r="B2" s="24" t="str">
        <x:v>Prior Year Sales</x:v>
      </x:c>
      <x:c r="C2" s="25"/>
      <x:c r="D2" s="25"/>
      <x:c r="E2" s="25"/>
      <x:c r="F2" s="25"/>
      <x:c r="G2" s="25"/>
      <x:c r="H2" s="25"/>
      <x:c r="I2" s="25"/>
      <x:c r="J2" s="25"/>
      <x:c r="K2" s="25"/>
      <x:c r="L2" s="25"/>
      <x:c r="M2" s="25"/>
      <x:c r="N2" s="25"/>
      <x:c r="O2" s="25"/>
      <x:c r="P2" s="25"/>
    </x:row>
    <x:row r="3">
      <x:c r="B3" s="26" t="str">
        <x:v>2025 actual revenue by salesperson and product. EUR excluding VAT.</x:v>
      </x:c>
      <x:c r="C3" s="26"/>
      <x:c r="D3" s="26"/>
      <x:c r="E3" s="26"/>
      <x:c r="F3" s="26"/>
      <x:c r="G3" s="26"/>
      <x:c r="H3" s="26"/>
      <x:c r="I3" s="26"/>
      <x:c r="J3" s="26"/>
      <x:c r="K3" s="26"/>
      <x:c r="L3" s="26"/>
      <x:c r="M3" s="26"/>
      <x:c r="N3" s="26"/>
      <x:c r="O3" s="26"/>
      <x:c r="P3" s="26"/>
    </x:row>
    <x:row r="4">
      <x:c r="B4" s="27"/>
      <x:c r="C4" s="27"/>
      <x:c r="D4" s="27"/>
      <x:c r="E4" s="27"/>
      <x:c r="F4" s="27"/>
      <x:c r="G4" s="27"/>
      <x:c r="H4" s="27"/>
      <x:c r="I4" s="27"/>
      <x:c r="J4" s="27"/>
      <x:c r="K4" s="27"/>
      <x:c r="L4" s="27"/>
      <x:c r="M4" s="27"/>
      <x:c r="N4" s="27"/>
      <x:c r="O4" s="27"/>
      <x:c r="P4" s="27"/>
    </x:row>
    <x:row r="5">
      <x:c r="B5" s="27"/>
      <x:c r="C5" s="27"/>
      <x:c r="D5" s="27"/>
      <x:c r="E5" s="27"/>
      <x:c r="F5" s="27"/>
      <x:c r="G5" s="27"/>
      <x:c r="H5" s="27"/>
      <x:c r="I5" s="27"/>
      <x:c r="J5" s="27"/>
      <x:c r="K5" s="27"/>
      <x:c r="L5" s="27"/>
      <x:c r="M5" s="27"/>
      <x:c r="N5" s="27"/>
      <x:c r="O5" s="27"/>
      <x:c r="P5" s="27"/>
    </x:row>
    <x:row r="6">
      <x:c r="B6" s="8" t="str">
        <x:v>Salesperson</x:v>
      </x:c>
      <x:c r="C6" s="8" t="str">
        <x:v>Product</x:v>
      </x:c>
      <x:c r="D6" s="8" t="str">
        <x:v>Jan</x:v>
      </x:c>
      <x:c r="E6" s="8" t="str">
        <x:v>Feb</x:v>
      </x:c>
      <x:c r="F6" s="8" t="str">
        <x:v>Mar</x:v>
      </x:c>
      <x:c r="G6" s="8" t="str">
        <x:v>Apr</x:v>
      </x:c>
      <x:c r="H6" s="8" t="str">
        <x:v>May</x:v>
      </x:c>
      <x:c r="I6" s="8" t="str">
        <x:v>Jun</x:v>
      </x:c>
      <x:c r="J6" s="8" t="str">
        <x:v>Jul</x:v>
      </x:c>
      <x:c r="K6" s="8" t="str">
        <x:v>Aug</x:v>
      </x:c>
      <x:c r="L6" s="8" t="str">
        <x:v>Sep</x:v>
      </x:c>
      <x:c r="M6" s="8" t="str">
        <x:v>Oct</x:v>
      </x:c>
      <x:c r="N6" s="8" t="str">
        <x:v>Nov</x:v>
      </x:c>
      <x:c r="O6" s="8" t="str">
        <x:v>Dec</x:v>
      </x:c>
      <x:c r="P6" s="8" t="str">
        <x:v>FY Total</x:v>
      </x:c>
    </x:row>
    <x:row r="7">
      <x:c r="B7" s="27" t="str">
        <x:v>Anna Power</x:v>
      </x:c>
      <x:c r="C7" s="27" t="str">
        <x:v>Corporate management training</x:v>
      </x:c>
      <x:c r="D7" s="40" t="n">
        <x:v>12000</x:v>
      </x:c>
      <x:c r="E7" s="40" t="n">
        <x:v>7500</x:v>
      </x:c>
      <x:c r="F7" s="40" t="n">
        <x:v>10000</x:v>
      </x:c>
      <x:c r="G7" s="40" t="n">
        <x:v>12500</x:v>
      </x:c>
      <x:c r="H7" s="40" t="n">
        <x:v>7500</x:v>
      </x:c>
      <x:c r="I7" s="40" t="n">
        <x:v>5000</x:v>
      </x:c>
      <x:c r="J7" s="40" t="n">
        <x:v>2500</x:v>
      </x:c>
      <x:c r="K7" s="40" t="n">
        <x:v>5000</x:v>
      </x:c>
      <x:c r="L7" s="40" t="n">
        <x:v>12500</x:v>
      </x:c>
      <x:c r="M7" s="40" t="n">
        <x:v>15000</x:v>
      </x:c>
      <x:c r="N7" s="40" t="n">
        <x:v>5000</x:v>
      </x:c>
      <x:c r="O7" s="40" t="n">
        <x:v>7500</x:v>
      </x:c>
      <x:c r="P7" s="40" t="n">
        <x:f>SUM(D7:O7)</x:f>
        <x:v>102000</x:v>
      </x:c>
    </x:row>
    <x:row r="8">
      <x:c r="B8" s="27" t="str">
        <x:v>Anna Power</x:v>
      </x:c>
      <x:c r="C8" s="27" t="str">
        <x:v>Corporate sales training</x:v>
      </x:c>
      <x:c r="D8" s="40" t="n">
        <x:v>2500</x:v>
      </x:c>
      <x:c r="E8" s="40" t="n">
        <x:v>2500</x:v>
      </x:c>
      <x:c r="F8" s="40" t="n">
        <x:v>5000</x:v>
      </x:c>
      <x:c r="G8" s="40" t="n">
        <x:v>5000</x:v>
      </x:c>
      <x:c r="H8" s="40" t="n">
        <x:v>2500</x:v>
      </x:c>
      <x:c r="I8" s="40" t="n">
        <x:v>2500</x:v>
      </x:c>
      <x:c r="J8" s="40" t="n">
        <x:v>0</x:v>
      </x:c>
      <x:c r="K8" s="40" t="n">
        <x:v>2500</x:v>
      </x:c>
      <x:c r="L8" s="40" t="n">
        <x:v>2500</x:v>
      </x:c>
      <x:c r="M8" s="40" t="n">
        <x:v>5000</x:v>
      </x:c>
      <x:c r="N8" s="40" t="n">
        <x:v>2500</x:v>
      </x:c>
      <x:c r="O8" s="40" t="n">
        <x:v>2500</x:v>
      </x:c>
      <x:c r="P8" s="40" t="n">
        <x:f>SUM(D8:O8)</x:f>
        <x:v>35000</x:v>
      </x:c>
    </x:row>
    <x:row r="9">
      <x:c r="B9" s="27" t="str">
        <x:v>Anna Power</x:v>
      </x:c>
      <x:c r="C9" s="27" t="str">
        <x:v>Open program seats</x:v>
      </x:c>
      <x:c r="D9" s="40" t="n">
        <x:v>1000</x:v>
      </x:c>
      <x:c r="E9" s="40" t="n">
        <x:v>1500</x:v>
      </x:c>
      <x:c r="F9" s="40" t="n">
        <x:v>1500</x:v>
      </x:c>
      <x:c r="G9" s="40" t="n">
        <x:v>2000</x:v>
      </x:c>
      <x:c r="H9" s="40" t="n">
        <x:v>1500</x:v>
      </x:c>
      <x:c r="I9" s="40" t="n">
        <x:v>1000</x:v>
      </x:c>
      <x:c r="J9" s="40" t="n">
        <x:v>500</x:v>
      </x:c>
      <x:c r="K9" s="40" t="n">
        <x:v>1000</x:v>
      </x:c>
      <x:c r="L9" s="40" t="n">
        <x:v>2000</x:v>
      </x:c>
      <x:c r="M9" s="40" t="n">
        <x:v>2500</x:v>
      </x:c>
      <x:c r="N9" s="40" t="n">
        <x:v>1500</x:v>
      </x:c>
      <x:c r="O9" s="40" t="n">
        <x:v>1500</x:v>
      </x:c>
      <x:c r="P9" s="40" t="n">
        <x:f>SUM(D9:O9)</x:f>
        <x:v>17500</x:v>
      </x:c>
    </x:row>
    <x:row r="10">
      <x:c r="B10" s="27" t="str">
        <x:v>Mark Pressure</x:v>
      </x:c>
      <x:c r="C10" s="27" t="str">
        <x:v>Corporate management training</x:v>
      </x:c>
      <x:c r="D10" s="40" t="n">
        <x:v>2500</x:v>
      </x:c>
      <x:c r="E10" s="40" t="n">
        <x:v>2500</x:v>
      </x:c>
      <x:c r="F10" s="40" t="n">
        <x:v>2500</x:v>
      </x:c>
      <x:c r="G10" s="40" t="n">
        <x:v>5000</x:v>
      </x:c>
      <x:c r="H10" s="40" t="n">
        <x:v>2500</x:v>
      </x:c>
      <x:c r="I10" s="40" t="n">
        <x:v>2500</x:v>
      </x:c>
      <x:c r="J10" s="40" t="n">
        <x:v>2500</x:v>
      </x:c>
      <x:c r="K10" s="40" t="n">
        <x:v>2500</x:v>
      </x:c>
      <x:c r="L10" s="40" t="n">
        <x:v>5000</x:v>
      </x:c>
      <x:c r="M10" s="40" t="n">
        <x:v>2500</x:v>
      </x:c>
      <x:c r="N10" s="40" t="n">
        <x:v>2500</x:v>
      </x:c>
      <x:c r="O10" s="40" t="n">
        <x:v>2500</x:v>
      </x:c>
      <x:c r="P10" s="40" t="n">
        <x:f>SUM(D10:O10)</x:f>
        <x:v>35000</x:v>
      </x:c>
    </x:row>
    <x:row r="11">
      <x:c r="B11" s="27" t="str">
        <x:v>Mark Pressure</x:v>
      </x:c>
      <x:c r="C11" s="27" t="str">
        <x:v>Corporate sales training</x:v>
      </x:c>
      <x:c r="D11" s="40" t="n">
        <x:v>10000</x:v>
      </x:c>
      <x:c r="E11" s="40" t="n">
        <x:v>12500</x:v>
      </x:c>
      <x:c r="F11" s="40" t="n">
        <x:v>7500</x:v>
      </x:c>
      <x:c r="G11" s="40" t="n">
        <x:v>12500</x:v>
      </x:c>
      <x:c r="H11" s="40" t="n">
        <x:v>10000</x:v>
      </x:c>
      <x:c r="I11" s="40" t="n">
        <x:v>7500</x:v>
      </x:c>
      <x:c r="J11" s="40" t="n">
        <x:v>5000</x:v>
      </x:c>
      <x:c r="K11" s="40" t="n">
        <x:v>7500</x:v>
      </x:c>
      <x:c r="L11" s="40" t="n">
        <x:v>12500</x:v>
      </x:c>
      <x:c r="M11" s="40" t="n">
        <x:v>12500</x:v>
      </x:c>
      <x:c r="N11" s="40" t="n">
        <x:v>10000</x:v>
      </x:c>
      <x:c r="O11" s="40" t="n">
        <x:v>7500</x:v>
      </x:c>
      <x:c r="P11" s="40" t="n">
        <x:f>SUM(D11:O11)</x:f>
        <x:v>115000</x:v>
      </x:c>
    </x:row>
    <x:row r="12">
      <x:c r="B12" s="27" t="str">
        <x:v>Mark Pressure</x:v>
      </x:c>
      <x:c r="C12" s="27" t="str">
        <x:v>Open program seats</x:v>
      </x:c>
      <x:c r="D12" s="40" t="n">
        <x:v>1500</x:v>
      </x:c>
      <x:c r="E12" s="40" t="n">
        <x:v>2000</x:v>
      </x:c>
      <x:c r="F12" s="40" t="n">
        <x:v>1500</x:v>
      </x:c>
      <x:c r="G12" s="40" t="n">
        <x:v>2500</x:v>
      </x:c>
      <x:c r="H12" s="40" t="n">
        <x:v>2000</x:v>
      </x:c>
      <x:c r="I12" s="40" t="n">
        <x:v>1500</x:v>
      </x:c>
      <x:c r="J12" s="40" t="n">
        <x:v>500</x:v>
      </x:c>
      <x:c r="K12" s="40" t="n">
        <x:v>1000</x:v>
      </x:c>
      <x:c r="L12" s="40" t="n">
        <x:v>2500</x:v>
      </x:c>
      <x:c r="M12" s="40" t="n">
        <x:v>3000</x:v>
      </x:c>
      <x:c r="N12" s="40" t="n">
        <x:v>2000</x:v>
      </x:c>
      <x:c r="O12" s="40" t="n">
        <x:v>1500</x:v>
      </x:c>
      <x:c r="P12" s="40" t="n">
        <x:f>SUM(D12:O12)</x:f>
        <x:v>21500</x:v>
      </x:c>
    </x:row>
    <x:row r="13">
      <x:c r="B13" s="27" t="str">
        <x:v>Linda Smile</x:v>
      </x:c>
      <x:c r="C13" s="27" t="str">
        <x:v>Corporate management training</x:v>
      </x:c>
      <x:c r="D13" s="40" t="n">
        <x:v>2500</x:v>
      </x:c>
      <x:c r="E13" s="40" t="n">
        <x:v>5000</x:v>
      </x:c>
      <x:c r="F13" s="40" t="n">
        <x:v>2500</x:v>
      </x:c>
      <x:c r="G13" s="40" t="n">
        <x:v>5000</x:v>
      </x:c>
      <x:c r="H13" s="40" t="n">
        <x:v>2500</x:v>
      </x:c>
      <x:c r="I13" s="40" t="n">
        <x:v>2500</x:v>
      </x:c>
      <x:c r="J13" s="40" t="n">
        <x:v>0</x:v>
      </x:c>
      <x:c r="K13" s="40" t="n">
        <x:v>2500</x:v>
      </x:c>
      <x:c r="L13" s="40" t="n">
        <x:v>5000</x:v>
      </x:c>
      <x:c r="M13" s="40" t="n">
        <x:v>5000</x:v>
      </x:c>
      <x:c r="N13" s="40" t="n">
        <x:v>2500</x:v>
      </x:c>
      <x:c r="O13" s="40" t="n">
        <x:v>2500</x:v>
      </x:c>
      <x:c r="P13" s="40" t="n">
        <x:f>SUM(D13:O13)</x:f>
        <x:v>37500</x:v>
      </x:c>
    </x:row>
    <x:row r="14">
      <x:c r="B14" s="27" t="str">
        <x:v>Linda Smile</x:v>
      </x:c>
      <x:c r="C14" s="27" t="str">
        <x:v>Corporate sales training</x:v>
      </x:c>
      <x:c r="D14" s="40" t="n">
        <x:v>2500</x:v>
      </x:c>
      <x:c r="E14" s="40" t="n">
        <x:v>2500</x:v>
      </x:c>
      <x:c r="F14" s="40" t="n">
        <x:v>5000</x:v>
      </x:c>
      <x:c r="G14" s="40" t="n">
        <x:v>2500</x:v>
      </x:c>
      <x:c r="H14" s="40" t="n">
        <x:v>2500</x:v>
      </x:c>
      <x:c r="I14" s="40" t="n">
        <x:v>0</x:v>
      </x:c>
      <x:c r="J14" s="40" t="n">
        <x:v>2500</x:v>
      </x:c>
      <x:c r="K14" s="40" t="n">
        <x:v>2500</x:v>
      </x:c>
      <x:c r="L14" s="40" t="n">
        <x:v>2500</x:v>
      </x:c>
      <x:c r="M14" s="40" t="n">
        <x:v>5000</x:v>
      </x:c>
      <x:c r="N14" s="40" t="n">
        <x:v>2500</x:v>
      </x:c>
      <x:c r="O14" s="40" t="n">
        <x:v>2500</x:v>
      </x:c>
      <x:c r="P14" s="40" t="n">
        <x:f>SUM(D14:O14)</x:f>
        <x:v>32500</x:v>
      </x:c>
    </x:row>
    <x:row r="15">
      <x:c r="B15" s="27" t="str">
        <x:v>Linda Smile</x:v>
      </x:c>
      <x:c r="C15" s="27" t="str">
        <x:v>Open program seats</x:v>
      </x:c>
      <x:c r="D15" s="40" t="n">
        <x:v>3000</x:v>
      </x:c>
      <x:c r="E15" s="40" t="n">
        <x:v>4500</x:v>
      </x:c>
      <x:c r="F15" s="40" t="n">
        <x:v>3000</x:v>
      </x:c>
      <x:c r="G15" s="40" t="n">
        <x:v>6000</x:v>
      </x:c>
      <x:c r="H15" s="40" t="n">
        <x:v>4500</x:v>
      </x:c>
      <x:c r="I15" s="40" t="n">
        <x:v>2500</x:v>
      </x:c>
      <x:c r="J15" s="40" t="n">
        <x:v>1000</x:v>
      </x:c>
      <x:c r="K15" s="40" t="n">
        <x:v>2000</x:v>
      </x:c>
      <x:c r="L15" s="40" t="n">
        <x:v>5500</x:v>
      </x:c>
      <x:c r="M15" s="40" t="n">
        <x:v>6500</x:v>
      </x:c>
      <x:c r="N15" s="40" t="n">
        <x:v>4000</x:v>
      </x:c>
      <x:c r="O15" s="40" t="n">
        <x:v>3500</x:v>
      </x:c>
      <x:c r="P15" s="40" t="n">
        <x:f>SUM(D15:O15)</x:f>
        <x:v>46000</x:v>
      </x:c>
    </x:row>
    <x:row r="16">
      <x:c r="B16" s="27" t="str">
        <x:v>Peter Late</x:v>
      </x:c>
      <x:c r="C16" s="27" t="str">
        <x:v>Corporate management training</x:v>
      </x:c>
      <x:c r="D16" s="40" t="n">
        <x:v>2500</x:v>
      </x:c>
      <x:c r="E16" s="40" t="n">
        <x:v>2500</x:v>
      </x:c>
      <x:c r="F16" s="40" t="n">
        <x:v>2500</x:v>
      </x:c>
      <x:c r="G16" s="40" t="n">
        <x:v>2500</x:v>
      </x:c>
      <x:c r="H16" s="40" t="n">
        <x:v>2500</x:v>
      </x:c>
      <x:c r="I16" s="40" t="n">
        <x:v>0</x:v>
      </x:c>
      <x:c r="J16" s="40" t="n">
        <x:v>0</x:v>
      </x:c>
      <x:c r="K16" s="40" t="n">
        <x:v>2500</x:v>
      </x:c>
      <x:c r="L16" s="40" t="n">
        <x:v>2500</x:v>
      </x:c>
      <x:c r="M16" s="40" t="n">
        <x:v>2500</x:v>
      </x:c>
      <x:c r="N16" s="40" t="n">
        <x:v>2500</x:v>
      </x:c>
      <x:c r="O16" s="40" t="n">
        <x:v>2500</x:v>
      </x:c>
      <x:c r="P16" s="40" t="n">
        <x:f>SUM(D16:O16)</x:f>
        <x:v>25000</x:v>
      </x:c>
    </x:row>
    <x:row r="17">
      <x:c r="B17" s="27" t="str">
        <x:v>Peter Late</x:v>
      </x:c>
      <x:c r="C17" s="27" t="str">
        <x:v>Corporate sales training</x:v>
      </x:c>
      <x:c r="D17" s="40" t="n">
        <x:v>2500</x:v>
      </x:c>
      <x:c r="E17" s="40" t="n">
        <x:v>5000</x:v>
      </x:c>
      <x:c r="F17" s="40" t="n">
        <x:v>2500</x:v>
      </x:c>
      <x:c r="G17" s="40" t="n">
        <x:v>5000</x:v>
      </x:c>
      <x:c r="H17" s="40" t="n">
        <x:v>2500</x:v>
      </x:c>
      <x:c r="I17" s="40" t="n">
        <x:v>2500</x:v>
      </x:c>
      <x:c r="J17" s="40" t="n">
        <x:v>0</x:v>
      </x:c>
      <x:c r="K17" s="40" t="n">
        <x:v>2500</x:v>
      </x:c>
      <x:c r="L17" s="40" t="n">
        <x:v>5000</x:v>
      </x:c>
      <x:c r="M17" s="40" t="n">
        <x:v>2500</x:v>
      </x:c>
      <x:c r="N17" s="40" t="n">
        <x:v>2500</x:v>
      </x:c>
      <x:c r="O17" s="40" t="n">
        <x:v>2500</x:v>
      </x:c>
      <x:c r="P17" s="40" t="n">
        <x:f>SUM(D17:O17)</x:f>
        <x:v>35000</x:v>
      </x:c>
    </x:row>
    <x:row r="18">
      <x:c r="B18" s="27" t="str">
        <x:v>Peter Late</x:v>
      </x:c>
      <x:c r="C18" s="27" t="str">
        <x:v>Open program seats</x:v>
      </x:c>
      <x:c r="D18" s="40" t="n">
        <x:v>2000</x:v>
      </x:c>
      <x:c r="E18" s="40" t="n">
        <x:v>2500</x:v>
      </x:c>
      <x:c r="F18" s="40" t="n">
        <x:v>2000</x:v>
      </x:c>
      <x:c r="G18" s="40" t="n">
        <x:v>3000</x:v>
      </x:c>
      <x:c r="H18" s="40" t="n">
        <x:v>2500</x:v>
      </x:c>
      <x:c r="I18" s="40" t="n">
        <x:v>1500</x:v>
      </x:c>
      <x:c r="J18" s="40" t="n">
        <x:v>500</x:v>
      </x:c>
      <x:c r="K18" s="40" t="n">
        <x:v>1500</x:v>
      </x:c>
      <x:c r="L18" s="40" t="n">
        <x:v>3000</x:v>
      </x:c>
      <x:c r="M18" s="40" t="n">
        <x:v>3500</x:v>
      </x:c>
      <x:c r="N18" s="40" t="n">
        <x:v>2500</x:v>
      </x:c>
      <x:c r="O18" s="40" t="n">
        <x:v>2000</x:v>
      </x:c>
      <x:c r="P18" s="40" t="n">
        <x:f>SUM(D18:O18)</x:f>
        <x:v>26500</x:v>
      </x:c>
    </x:row>
    <x:row r="19">
      <x:c r="B19" s="27"/>
      <x:c r="C19" s="27"/>
      <x:c r="D19" s="40"/>
      <x:c r="E19" s="40"/>
      <x:c r="F19" s="40"/>
      <x:c r="G19" s="40"/>
      <x:c r="H19" s="40"/>
      <x:c r="I19" s="40"/>
      <x:c r="J19" s="40"/>
      <x:c r="K19" s="40"/>
      <x:c r="L19" s="40"/>
      <x:c r="M19" s="40"/>
      <x:c r="N19" s="40"/>
      <x:c r="O19" s="40"/>
      <x:c r="P19" s="40"/>
    </x:row>
    <x:row r="20">
      <x:c r="B20" s="41" t="str">
        <x:v>TOTAL</x:v>
      </x:c>
      <x:c r="C20" s="41" t="str">
        <x:v>All products</x:v>
      </x:c>
      <x:c r="D20" s="42" t="n">
        <x:f>SUM(D7:D18)</x:f>
        <x:v>44500</x:v>
      </x:c>
      <x:c r="E20" s="42" t="n">
        <x:f>SUM(E7:E18)</x:f>
        <x:v>50500</x:v>
      </x:c>
      <x:c r="F20" s="42" t="n">
        <x:f>SUM(F7:F18)</x:f>
        <x:v>45500</x:v>
      </x:c>
      <x:c r="G20" s="42" t="n">
        <x:f>SUM(G7:G18)</x:f>
        <x:v>63500</x:v>
      </x:c>
      <x:c r="H20" s="42" t="n">
        <x:f>SUM(H7:H18)</x:f>
        <x:v>43000</x:v>
      </x:c>
      <x:c r="I20" s="42" t="n">
        <x:f>SUM(I7:I18)</x:f>
        <x:v>29000</x:v>
      </x:c>
      <x:c r="J20" s="42" t="n">
        <x:f>SUM(J7:J18)</x:f>
        <x:v>15000</x:v>
      </x:c>
      <x:c r="K20" s="42" t="n">
        <x:f>SUM(K7:K18)</x:f>
        <x:v>33000</x:v>
      </x:c>
      <x:c r="L20" s="42" t="n">
        <x:f>SUM(L7:L18)</x:f>
        <x:v>60500</x:v>
      </x:c>
      <x:c r="M20" s="42" t="n">
        <x:f>SUM(M7:M18)</x:f>
        <x:v>65500</x:v>
      </x:c>
      <x:c r="N20" s="42" t="n">
        <x:f>SUM(N7:N18)</x:f>
        <x:v>40000</x:v>
      </x:c>
      <x:c r="O20" s="42" t="n">
        <x:f>SUM(O7:O18)</x:f>
        <x:v>38500</x:v>
      </x:c>
      <x:c r="P20" s="42" t="n">
        <x:f>SUM(P7:P18)</x:f>
        <x:v>528500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" hidden="0" customWidth="1"/>
    <x:col min="2" max="2" width="24" hidden="0" customWidth="1"/>
    <x:col min="3" max="3" width="2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4" hidden="0" customWidth="1"/>
  </x:cols>
  <x:sheetData>
    <x:row r="2">
      <x:c r="B2" s="24" t="str">
        <x:v>Prior Year Marketing</x:v>
      </x:c>
      <x:c r="C2" s="25"/>
      <x:c r="D2" s="25"/>
      <x:c r="E2" s="25"/>
      <x:c r="F2" s="25"/>
      <x:c r="G2" s="25"/>
      <x:c r="H2" s="25"/>
      <x:c r="I2" s="25"/>
      <x:c r="J2" s="25"/>
      <x:c r="K2" s="25"/>
      <x:c r="L2" s="25"/>
      <x:c r="M2" s="25"/>
      <x:c r="N2" s="25"/>
      <x:c r="O2" s="25"/>
      <x:c r="P2" s="25"/>
    </x:row>
    <x:row r="3">
      <x:c r="B3" s="26" t="str">
        <x:v>2025 actual activities and commercial results.</x:v>
      </x:c>
      <x:c r="C3" s="26"/>
      <x:c r="D3" s="26"/>
      <x:c r="E3" s="26"/>
      <x:c r="F3" s="26"/>
      <x:c r="G3" s="26"/>
      <x:c r="H3" s="26"/>
      <x:c r="I3" s="26"/>
      <x:c r="J3" s="26"/>
      <x:c r="K3" s="26"/>
      <x:c r="L3" s="26"/>
      <x:c r="M3" s="26"/>
      <x:c r="N3" s="26"/>
      <x:c r="O3" s="26"/>
      <x:c r="P3" s="26"/>
    </x:row>
    <x:row r="4">
      <x:c r="B4" s="27"/>
      <x:c r="C4" s="27"/>
      <x:c r="D4" s="27"/>
      <x:c r="E4" s="27"/>
      <x:c r="F4" s="27"/>
      <x:c r="G4" s="27"/>
      <x:c r="H4" s="27"/>
      <x:c r="I4" s="27"/>
      <x:c r="J4" s="27"/>
      <x:c r="K4" s="27"/>
      <x:c r="L4" s="27"/>
      <x:c r="M4" s="27"/>
      <x:c r="N4" s="27"/>
      <x:c r="O4" s="27"/>
      <x:c r="P4" s="27"/>
    </x:row>
    <x:row r="5">
      <x:c r="B5" s="27"/>
      <x:c r="C5" s="27"/>
      <x:c r="D5" s="27"/>
      <x:c r="E5" s="27"/>
      <x:c r="F5" s="27"/>
      <x:c r="G5" s="27"/>
      <x:c r="H5" s="27"/>
      <x:c r="I5" s="27"/>
      <x:c r="J5" s="27"/>
      <x:c r="K5" s="27"/>
      <x:c r="L5" s="27"/>
      <x:c r="M5" s="27"/>
      <x:c r="N5" s="27"/>
      <x:c r="O5" s="27"/>
      <x:c r="P5" s="27"/>
    </x:row>
    <x:row r="6">
      <x:c r="B6" s="8" t="str">
        <x:v>Metric</x:v>
      </x:c>
      <x:c r="C6" s="8" t="str">
        <x:v>Unit</x:v>
      </x:c>
      <x:c r="D6" s="8" t="str">
        <x:v>Jan</x:v>
      </x:c>
      <x:c r="E6" s="8" t="str">
        <x:v>Feb</x:v>
      </x:c>
      <x:c r="F6" s="8" t="str">
        <x:v>Mar</x:v>
      </x:c>
      <x:c r="G6" s="8" t="str">
        <x:v>Apr</x:v>
      </x:c>
      <x:c r="H6" s="8" t="str">
        <x:v>May</x:v>
      </x:c>
      <x:c r="I6" s="8" t="str">
        <x:v>Jun</x:v>
      </x:c>
      <x:c r="J6" s="8" t="str">
        <x:v>Jul</x:v>
      </x:c>
      <x:c r="K6" s="8" t="str">
        <x:v>Aug</x:v>
      </x:c>
      <x:c r="L6" s="8" t="str">
        <x:v>Sep</x:v>
      </x:c>
      <x:c r="M6" s="8" t="str">
        <x:v>Oct</x:v>
      </x:c>
      <x:c r="N6" s="8" t="str">
        <x:v>Nov</x:v>
      </x:c>
      <x:c r="O6" s="8" t="str">
        <x:v>Dec</x:v>
      </x:c>
      <x:c r="P6" s="8" t="str">
        <x:v>FY Total</x:v>
      </x:c>
    </x:row>
    <x:row r="7">
      <x:c r="B7" s="27" t="str">
        <x:v>Marketing spend</x:v>
      </x:c>
      <x:c r="C7" s="27" t="str">
        <x:v>EUR</x:v>
      </x:c>
      <x:c r="D7" s="40" t="n">
        <x:v>6000</x:v>
      </x:c>
      <x:c r="E7" s="40" t="n">
        <x:v>5000</x:v>
      </x:c>
      <x:c r="F7" s="40" t="n">
        <x:v>6500</x:v>
      </x:c>
      <x:c r="G7" s="40" t="n">
        <x:v>6500</x:v>
      </x:c>
      <x:c r="H7" s="40" t="n">
        <x:v>5000</x:v>
      </x:c>
      <x:c r="I7" s="40" t="n">
        <x:v>4000</x:v>
      </x:c>
      <x:c r="J7" s="40" t="n">
        <x:v>2500</x:v>
      </x:c>
      <x:c r="K7" s="40" t="n">
        <x:v>3500</x:v>
      </x:c>
      <x:c r="L7" s="40" t="n">
        <x:v>7500</x:v>
      </x:c>
      <x:c r="M7" s="40" t="n">
        <x:v>8000</x:v>
      </x:c>
      <x:c r="N7" s="40" t="n">
        <x:v>6500</x:v>
      </x:c>
      <x:c r="O7" s="40" t="n">
        <x:v>4500</x:v>
      </x:c>
      <x:c r="P7" s="40" t="n">
        <x:f>SUM(D7:O7)</x:f>
        <x:v>65500</x:v>
      </x:c>
    </x:row>
    <x:row r="8">
      <x:c r="B8" s="27" t="str">
        <x:v>Campaigns launched</x:v>
      </x:c>
      <x:c r="C8" s="27" t="str">
        <x:v>Count</x:v>
      </x:c>
      <x:c r="D8" s="68" t="n">
        <x:v>3</x:v>
      </x:c>
      <x:c r="E8" s="68" t="n">
        <x:v>2</x:v>
      </x:c>
      <x:c r="F8" s="68" t="n">
        <x:v>3</x:v>
      </x:c>
      <x:c r="G8" s="68" t="n">
        <x:v>3</x:v>
      </x:c>
      <x:c r="H8" s="68" t="n">
        <x:v>2</x:v>
      </x:c>
      <x:c r="I8" s="68" t="n">
        <x:v>2</x:v>
      </x:c>
      <x:c r="J8" s="68" t="n">
        <x:v>1</x:v>
      </x:c>
      <x:c r="K8" s="68" t="n">
        <x:v>2</x:v>
      </x:c>
      <x:c r="L8" s="68" t="n">
        <x:v>4</x:v>
      </x:c>
      <x:c r="M8" s="68" t="n">
        <x:v>4</x:v>
      </x:c>
      <x:c r="N8" s="68" t="n">
        <x:v>3</x:v>
      </x:c>
      <x:c r="O8" s="68" t="n">
        <x:v>2</x:v>
      </x:c>
      <x:c r="P8" s="68" t="n">
        <x:f>SUM(D8:O8)</x:f>
        <x:v>31</x:v>
      </x:c>
    </x:row>
    <x:row r="9">
      <x:c r="B9" s="27" t="str">
        <x:v>Qualified corporate leads</x:v>
      </x:c>
      <x:c r="C9" s="27" t="str">
        <x:v>Count</x:v>
      </x:c>
      <x:c r="D9" s="68" t="n">
        <x:v>24</x:v>
      </x:c>
      <x:c r="E9" s="68" t="n">
        <x:v>20</x:v>
      </x:c>
      <x:c r="F9" s="68" t="n">
        <x:v>27</x:v>
      </x:c>
      <x:c r="G9" s="68" t="n">
        <x:v>29</x:v>
      </x:c>
      <x:c r="H9" s="68" t="n">
        <x:v>23</x:v>
      </x:c>
      <x:c r="I9" s="68" t="n">
        <x:v>18</x:v>
      </x:c>
      <x:c r="J9" s="68" t="n">
        <x:v>10</x:v>
      </x:c>
      <x:c r="K9" s="68" t="n">
        <x:v>15</x:v>
      </x:c>
      <x:c r="L9" s="68" t="n">
        <x:v>34</x:v>
      </x:c>
      <x:c r="M9" s="68" t="n">
        <x:v>38</x:v>
      </x:c>
      <x:c r="N9" s="68" t="n">
        <x:v>30</x:v>
      </x:c>
      <x:c r="O9" s="68" t="n">
        <x:v>20</x:v>
      </x:c>
      <x:c r="P9" s="68" t="n">
        <x:f>SUM(D9:O9)</x:f>
        <x:v>288</x:v>
      </x:c>
    </x:row>
    <x:row r="10">
      <x:c r="B10" s="27" t="str">
        <x:v>Corporate deals won</x:v>
      </x:c>
      <x:c r="C10" s="27" t="str">
        <x:v>Count</x:v>
      </x:c>
      <x:c r="D10" s="68" t="n">
        <x:v>5</x:v>
      </x:c>
      <x:c r="E10" s="68" t="n">
        <x:v>4</x:v>
      </x:c>
      <x:c r="F10" s="68" t="n">
        <x:v>5</x:v>
      </x:c>
      <x:c r="G10" s="68" t="n">
        <x:v>6</x:v>
      </x:c>
      <x:c r="H10" s="68" t="n">
        <x:v>4</x:v>
      </x:c>
      <x:c r="I10" s="68" t="n">
        <x:v>4</x:v>
      </x:c>
      <x:c r="J10" s="68" t="n">
        <x:v>2</x:v>
      </x:c>
      <x:c r="K10" s="68" t="n">
        <x:v>3</x:v>
      </x:c>
      <x:c r="L10" s="68" t="n">
        <x:v>7</x:v>
      </x:c>
      <x:c r="M10" s="68" t="n">
        <x:v>8</x:v>
      </x:c>
      <x:c r="N10" s="68" t="n">
        <x:v>6</x:v>
      </x:c>
      <x:c r="O10" s="68" t="n">
        <x:v>4</x:v>
      </x:c>
      <x:c r="P10" s="68" t="n">
        <x:f>SUM(D10:O10)</x:f>
        <x:v>58</x:v>
      </x:c>
    </x:row>
    <x:row r="11">
      <x:c r="B11" s="27" t="str">
        <x:v>Open program enquiries</x:v>
      </x:c>
      <x:c r="C11" s="27" t="str">
        <x:v>Count</x:v>
      </x:c>
      <x:c r="D11" s="68" t="n">
        <x:v>65</x:v>
      </x:c>
      <x:c r="E11" s="68" t="n">
        <x:v>58</x:v>
      </x:c>
      <x:c r="F11" s="68" t="n">
        <x:v>72</x:v>
      </x:c>
      <x:c r="G11" s="68" t="n">
        <x:v>80</x:v>
      </x:c>
      <x:c r="H11" s="68" t="n">
        <x:v>69</x:v>
      </x:c>
      <x:c r="I11" s="68" t="n">
        <x:v>54</x:v>
      </x:c>
      <x:c r="J11" s="68" t="n">
        <x:v>28</x:v>
      </x:c>
      <x:c r="K11" s="68" t="n">
        <x:v>43</x:v>
      </x:c>
      <x:c r="L11" s="68" t="n">
        <x:v>96</x:v>
      </x:c>
      <x:c r="M11" s="68" t="n">
        <x:v>110</x:v>
      </x:c>
      <x:c r="N11" s="68" t="n">
        <x:v>82</x:v>
      </x:c>
      <x:c r="O11" s="68" t="n">
        <x:v>60</x:v>
      </x:c>
      <x:c r="P11" s="68" t="n">
        <x:f>SUM(D11:O11)</x:f>
        <x:v>817</x:v>
      </x:c>
    </x:row>
    <x:row r="12">
      <x:c r="B12" s="27" t="str">
        <x:v>Open seats sold</x:v>
      </x:c>
      <x:c r="C12" s="27" t="str">
        <x:v>Count</x:v>
      </x:c>
      <x:c r="D12" s="68" t="n">
        <x:v>15</x:v>
      </x:c>
      <x:c r="E12" s="68" t="n">
        <x:v>18</x:v>
      </x:c>
      <x:c r="F12" s="68" t="n">
        <x:v>16</x:v>
      </x:c>
      <x:c r="G12" s="68" t="n">
        <x:v>22</x:v>
      </x:c>
      <x:c r="H12" s="68" t="n">
        <x:v>19</x:v>
      </x:c>
      <x:c r="I12" s="68" t="n">
        <x:v>12</x:v>
      </x:c>
      <x:c r="J12" s="68" t="n">
        <x:v>4</x:v>
      </x:c>
      <x:c r="K12" s="68" t="n">
        <x:v>8</x:v>
      </x:c>
      <x:c r="L12" s="68" t="n">
        <x:v>24</x:v>
      </x:c>
      <x:c r="M12" s="68" t="n">
        <x:v>27</x:v>
      </x:c>
      <x:c r="N12" s="68" t="n">
        <x:v>18</x:v>
      </x:c>
      <x:c r="O12" s="68" t="n">
        <x:v>15</x:v>
      </x:c>
      <x:c r="P12" s="68" t="n">
        <x:f>SUM(D12:O12)</x:f>
        <x:v>198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" hidden="0" customWidth="1"/>
    <x:col min="2" max="2" width="24" hidden="0" customWidth="1"/>
    <x:col min="3" max="3" width="2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4" hidden="0" customWidth="1"/>
  </x:cols>
  <x:sheetData>
    <x:row r="2">
      <x:c r="B2" s="24" t="str">
        <x:v>Prior Year Delivery</x:v>
      </x:c>
      <x:c r="C2" s="25"/>
      <x:c r="D2" s="25"/>
      <x:c r="E2" s="25"/>
      <x:c r="F2" s="25"/>
      <x:c r="G2" s="25"/>
      <x:c r="H2" s="25"/>
      <x:c r="I2" s="25"/>
      <x:c r="J2" s="25"/>
      <x:c r="K2" s="25"/>
      <x:c r="L2" s="25"/>
      <x:c r="M2" s="25"/>
      <x:c r="N2" s="25"/>
      <x:c r="O2" s="25"/>
      <x:c r="P2" s="25"/>
    </x:row>
    <x:row r="3">
      <x:c r="B3" s="26" t="str">
        <x:v>2025 actual program volume and capacity use.</x:v>
      </x:c>
      <x:c r="C3" s="26"/>
      <x:c r="D3" s="26"/>
      <x:c r="E3" s="26"/>
      <x:c r="F3" s="26"/>
      <x:c r="G3" s="26"/>
      <x:c r="H3" s="26"/>
      <x:c r="I3" s="26"/>
      <x:c r="J3" s="26"/>
      <x:c r="K3" s="26"/>
      <x:c r="L3" s="26"/>
      <x:c r="M3" s="26"/>
      <x:c r="N3" s="26"/>
      <x:c r="O3" s="26"/>
      <x:c r="P3" s="26"/>
    </x:row>
    <x:row r="4">
      <x:c r="B4" s="27"/>
      <x:c r="C4" s="27"/>
      <x:c r="D4" s="27"/>
      <x:c r="E4" s="27"/>
      <x:c r="F4" s="27"/>
      <x:c r="G4" s="27"/>
      <x:c r="H4" s="27"/>
      <x:c r="I4" s="27"/>
      <x:c r="J4" s="27"/>
      <x:c r="K4" s="27"/>
      <x:c r="L4" s="27"/>
      <x:c r="M4" s="27"/>
      <x:c r="N4" s="27"/>
      <x:c r="O4" s="27"/>
      <x:c r="P4" s="27"/>
    </x:row>
    <x:row r="5">
      <x:c r="B5" s="27"/>
      <x:c r="C5" s="27"/>
      <x:c r="D5" s="27"/>
      <x:c r="E5" s="27"/>
      <x:c r="F5" s="27"/>
      <x:c r="G5" s="27"/>
      <x:c r="H5" s="27"/>
      <x:c r="I5" s="27"/>
      <x:c r="J5" s="27"/>
      <x:c r="K5" s="27"/>
      <x:c r="L5" s="27"/>
      <x:c r="M5" s="27"/>
      <x:c r="N5" s="27"/>
      <x:c r="O5" s="27"/>
      <x:c r="P5" s="27"/>
    </x:row>
    <x:row r="6">
      <x:c r="B6" s="8" t="str">
        <x:v>Metric</x:v>
      </x:c>
      <x:c r="C6" s="8" t="str">
        <x:v>Unit</x:v>
      </x:c>
      <x:c r="D6" s="8" t="str">
        <x:v>Jan</x:v>
      </x:c>
      <x:c r="E6" s="8" t="str">
        <x:v>Feb</x:v>
      </x:c>
      <x:c r="F6" s="8" t="str">
        <x:v>Mar</x:v>
      </x:c>
      <x:c r="G6" s="8" t="str">
        <x:v>Apr</x:v>
      </x:c>
      <x:c r="H6" s="8" t="str">
        <x:v>May</x:v>
      </x:c>
      <x:c r="I6" s="8" t="str">
        <x:v>Jun</x:v>
      </x:c>
      <x:c r="J6" s="8" t="str">
        <x:v>Jul</x:v>
      </x:c>
      <x:c r="K6" s="8" t="str">
        <x:v>Aug</x:v>
      </x:c>
      <x:c r="L6" s="8" t="str">
        <x:v>Sep</x:v>
      </x:c>
      <x:c r="M6" s="8" t="str">
        <x:v>Oct</x:v>
      </x:c>
      <x:c r="N6" s="8" t="str">
        <x:v>Nov</x:v>
      </x:c>
      <x:c r="O6" s="8" t="str">
        <x:v>Dec</x:v>
      </x:c>
      <x:c r="P6" s="8" t="str">
        <x:v>FY Total</x:v>
      </x:c>
    </x:row>
    <x:row r="7">
      <x:c r="B7" s="27" t="str">
        <x:v>Standard corporate programs</x:v>
      </x:c>
      <x:c r="C7" s="27" t="str">
        <x:v>Count</x:v>
      </x:c>
      <x:c r="D7" s="68" t="n">
        <x:v>4</x:v>
      </x:c>
      <x:c r="E7" s="68" t="n">
        <x:v>3</x:v>
      </x:c>
      <x:c r="F7" s="68" t="n">
        <x:v>4</x:v>
      </x:c>
      <x:c r="G7" s="68" t="n">
        <x:v>5</x:v>
      </x:c>
      <x:c r="H7" s="68" t="n">
        <x:v>3</x:v>
      </x:c>
      <x:c r="I7" s="68" t="n">
        <x:v>3</x:v>
      </x:c>
      <x:c r="J7" s="68" t="n">
        <x:v>1</x:v>
      </x:c>
      <x:c r="K7" s="68" t="n">
        <x:v>2</x:v>
      </x:c>
      <x:c r="L7" s="68" t="n">
        <x:v>5</x:v>
      </x:c>
      <x:c r="M7" s="68" t="n">
        <x:v>6</x:v>
      </x:c>
      <x:c r="N7" s="68" t="n">
        <x:v>4</x:v>
      </x:c>
      <x:c r="O7" s="68" t="n">
        <x:v>3</x:v>
      </x:c>
      <x:c r="P7" s="68" t="n">
        <x:f>SUM(D7:O7)</x:f>
        <x:v>43</x:v>
      </x:c>
    </x:row>
    <x:row r="8">
      <x:c r="B8" s="27" t="str">
        <x:v>Large corporate programs</x:v>
      </x:c>
      <x:c r="C8" s="27" t="str">
        <x:v>Count</x:v>
      </x:c>
      <x:c r="D8" s="68" t="n">
        <x:v>0</x:v>
      </x:c>
      <x:c r="E8" s="68" t="n">
        <x:v>1</x:v>
      </x:c>
      <x:c r="F8" s="68" t="n">
        <x:v>0</x:v>
      </x:c>
      <x:c r="G8" s="68" t="n">
        <x:v>1</x:v>
      </x:c>
      <x:c r="H8" s="68" t="n">
        <x:v>1</x:v>
      </x:c>
      <x:c r="I8" s="68" t="n">
        <x:v>0</x:v>
      </x:c>
      <x:c r="J8" s="68" t="n">
        <x:v>0</x:v>
      </x:c>
      <x:c r="K8" s="68" t="n">
        <x:v>0</x:v>
      </x:c>
      <x:c r="L8" s="68" t="n">
        <x:v>1</x:v>
      </x:c>
      <x:c r="M8" s="68" t="n">
        <x:v>1</x:v>
      </x:c>
      <x:c r="N8" s="68" t="n">
        <x:v>1</x:v>
      </x:c>
      <x:c r="O8" s="68" t="n">
        <x:v>0</x:v>
      </x:c>
      <x:c r="P8" s="68" t="n">
        <x:f>SUM(D8:O8)</x:f>
        <x:v>6</x:v>
      </x:c>
    </x:row>
    <x:row r="9">
      <x:c r="B9" s="27" t="str">
        <x:v>Open programs delivered</x:v>
      </x:c>
      <x:c r="C9" s="27" t="str">
        <x:v>Count</x:v>
      </x:c>
      <x:c r="D9" s="68" t="n">
        <x:v>1</x:v>
      </x:c>
      <x:c r="E9" s="68" t="n">
        <x:v>1</x:v>
      </x:c>
      <x:c r="F9" s="68" t="n">
        <x:v>1</x:v>
      </x:c>
      <x:c r="G9" s="68" t="n">
        <x:v>2</x:v>
      </x:c>
      <x:c r="H9" s="68" t="n">
        <x:v>1</x:v>
      </x:c>
      <x:c r="I9" s="68" t="n">
        <x:v>1</x:v>
      </x:c>
      <x:c r="J9" s="68" t="n">
        <x:v>0</x:v>
      </x:c>
      <x:c r="K9" s="68" t="n">
        <x:v>1</x:v>
      </x:c>
      <x:c r="L9" s="68" t="n">
        <x:v>2</x:v>
      </x:c>
      <x:c r="M9" s="68" t="n">
        <x:v>2</x:v>
      </x:c>
      <x:c r="N9" s="68" t="n">
        <x:v>1</x:v>
      </x:c>
      <x:c r="O9" s="68" t="n">
        <x:v>1</x:v>
      </x:c>
      <x:c r="P9" s="68" t="n">
        <x:f>SUM(D9:O9)</x:f>
        <x:v>14</x:v>
      </x:c>
    </x:row>
    <x:row r="10">
      <x:c r="B10" s="27" t="str">
        <x:v>Trainer delivery days</x:v>
      </x:c>
      <x:c r="C10" s="27" t="str">
        <x:v>Days</x:v>
      </x:c>
      <x:c r="D10" s="68" t="n">
        <x:v>8</x:v>
      </x:c>
      <x:c r="E10" s="68" t="n">
        <x:v>8</x:v>
      </x:c>
      <x:c r="F10" s="68" t="n">
        <x:v>8</x:v>
      </x:c>
      <x:c r="G10" s="68" t="n">
        <x:v>13</x:v>
      </x:c>
      <x:c r="H10" s="68" t="n">
        <x:v>9</x:v>
      </x:c>
      <x:c r="I10" s="68" t="n">
        <x:v>7</x:v>
      </x:c>
      <x:c r="J10" s="68" t="n">
        <x:v>2</x:v>
      </x:c>
      <x:c r="K10" s="68" t="n">
        <x:v>5</x:v>
      </x:c>
      <x:c r="L10" s="68" t="n">
        <x:v>14</x:v>
      </x:c>
      <x:c r="M10" s="68" t="n">
        <x:v>16</x:v>
      </x:c>
      <x:c r="N10" s="68" t="n">
        <x:v>11</x:v>
      </x:c>
      <x:c r="O10" s="68" t="n">
        <x:v>7</x:v>
      </x:c>
      <x:c r="P10" s="68" t="n">
        <x:f>SUM(D10:O10)</x:f>
        <x:v>108</x:v>
      </x:c>
    </x:row>
    <x:row r="11">
      <x:c r="B11" s="27" t="str">
        <x:v>Available trainer days</x:v>
      </x:c>
      <x:c r="C11" s="27" t="str">
        <x:v>Days</x:v>
      </x:c>
      <x:c r="D11" s="68" t="n">
        <x:v>15</x:v>
      </x:c>
      <x:c r="E11" s="68" t="n">
        <x:v>15</x:v>
      </x:c>
      <x:c r="F11" s="68" t="n">
        <x:v>17</x:v>
      </x:c>
      <x:c r="G11" s="68" t="n">
        <x:v>16</x:v>
      </x:c>
      <x:c r="H11" s="68" t="n">
        <x:v>17</x:v>
      </x:c>
      <x:c r="I11" s="68" t="n">
        <x:v>15</x:v>
      </x:c>
      <x:c r="J11" s="68" t="n">
        <x:v>10</x:v>
      </x:c>
      <x:c r="K11" s="68" t="n">
        <x:v>12</x:v>
      </x:c>
      <x:c r="L11" s="68" t="n">
        <x:v>18</x:v>
      </x:c>
      <x:c r="M11" s="68" t="n">
        <x:v>18</x:v>
      </x:c>
      <x:c r="N11" s="68" t="n">
        <x:v>16</x:v>
      </x:c>
      <x:c r="O11" s="68" t="n">
        <x:v>12</x:v>
      </x:c>
      <x:c r="P11" s="68" t="n">
        <x:f>SUM(D11:O11)</x:f>
        <x:v>181</x:v>
      </x:c>
    </x:row>
    <x:row r="12">
      <x:c r="B12" s="27" t="str">
        <x:v>Open seats sold</x:v>
      </x:c>
      <x:c r="C12" s="27" t="str">
        <x:v>Seats</x:v>
      </x:c>
      <x:c r="D12" s="68" t="n">
        <x:v>15</x:v>
      </x:c>
      <x:c r="E12" s="68" t="n">
        <x:v>18</x:v>
      </x:c>
      <x:c r="F12" s="68" t="n">
        <x:v>16</x:v>
      </x:c>
      <x:c r="G12" s="68" t="n">
        <x:v>22</x:v>
      </x:c>
      <x:c r="H12" s="68" t="n">
        <x:v>19</x:v>
      </x:c>
      <x:c r="I12" s="68" t="n">
        <x:v>12</x:v>
      </x:c>
      <x:c r="J12" s="68" t="n">
        <x:v>4</x:v>
      </x:c>
      <x:c r="K12" s="68" t="n">
        <x:v>8</x:v>
      </x:c>
      <x:c r="L12" s="68" t="n">
        <x:v>24</x:v>
      </x:c>
      <x:c r="M12" s="68" t="n">
        <x:v>27</x:v>
      </x:c>
      <x:c r="N12" s="68" t="n">
        <x:v>18</x:v>
      </x:c>
      <x:c r="O12" s="68" t="n">
        <x:v>15</x:v>
      </x:c>
      <x:c r="P12" s="68" t="n">
        <x:f>SUM(D12:O12)</x:f>
        <x:v>198</x:v>
      </x:c>
    </x:row>
    <x:row r="13">
      <x:c r="B13" s="27" t="str">
        <x:v>Average open-program attendance</x:v>
      </x:c>
      <x:c r="C13" s="27" t="str">
        <x:v>Participants</x:v>
      </x:c>
      <x:c r="D13" s="68" t="n">
        <x:v>15</x:v>
      </x:c>
      <x:c r="E13" s="68" t="n">
        <x:v>18</x:v>
      </x:c>
      <x:c r="F13" s="68" t="n">
        <x:v>16</x:v>
      </x:c>
      <x:c r="G13" s="68" t="n">
        <x:v>11</x:v>
      </x:c>
      <x:c r="H13" s="68" t="n">
        <x:v>19</x:v>
      </x:c>
      <x:c r="I13" s="68" t="n">
        <x:v>12</x:v>
      </x:c>
      <x:c r="J13" s="68" t="n">
        <x:v>0</x:v>
      </x:c>
      <x:c r="K13" s="68" t="n">
        <x:v>8</x:v>
      </x:c>
      <x:c r="L13" s="68" t="n">
        <x:v>12</x:v>
      </x:c>
      <x:c r="M13" s="68" t="n">
        <x:v>14</x:v>
      </x:c>
      <x:c r="N13" s="68" t="n">
        <x:v>18</x:v>
      </x:c>
      <x:c r="O13" s="68" t="n">
        <x:v>15</x:v>
      </x:c>
      <x:c r="P13" s="71" t="n">
        <x:f>P12/P9</x:f>
        <x:v>14.142857142857142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2" hidden="0" customWidth="1"/>
    <x:col min="2" max="2" width="24" hidden="0" customWidth="1"/>
    <x:col min="3" max="3" width="2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4" hidden="0" customWidth="1"/>
  </x:cols>
  <x:sheetData>
    <x:row r="2">
      <x:c r="B2" s="24" t="str">
        <x:v>Draft Sales Budget</x:v>
      </x:c>
      <x:c r="C2" s="25"/>
      <x:c r="D2" s="25"/>
      <x:c r="E2" s="25"/>
      <x:c r="F2" s="25"/>
      <x:c r="G2" s="25"/>
      <x:c r="H2" s="25"/>
      <x:c r="I2" s="25"/>
      <x:c r="J2" s="25"/>
      <x:c r="K2" s="25"/>
      <x:c r="L2" s="25"/>
      <x:c r="M2" s="25"/>
      <x:c r="N2" s="25"/>
      <x:c r="O2" s="25"/>
      <x:c r="P2" s="25"/>
    </x:row>
    <x:row r="3">
      <x:c r="B3" s="26" t="str">
        <x:v>2026 revenue budget supplied by the sales director. EUR excluding VAT.</x:v>
      </x:c>
      <x:c r="C3" s="26"/>
      <x:c r="D3" s="26"/>
      <x:c r="E3" s="26"/>
      <x:c r="F3" s="26"/>
      <x:c r="G3" s="26"/>
      <x:c r="H3" s="26"/>
      <x:c r="I3" s="26"/>
      <x:c r="J3" s="26"/>
      <x:c r="K3" s="26"/>
      <x:c r="L3" s="26"/>
      <x:c r="M3" s="26"/>
      <x:c r="N3" s="26"/>
      <x:c r="O3" s="26"/>
      <x:c r="P3" s="26"/>
    </x:row>
    <x:row r="4">
      <x:c r="B4" s="27"/>
      <x:c r="C4" s="27"/>
      <x:c r="D4" s="27"/>
      <x:c r="E4" s="27"/>
      <x:c r="F4" s="27"/>
      <x:c r="G4" s="27"/>
      <x:c r="H4" s="27"/>
      <x:c r="I4" s="27"/>
      <x:c r="J4" s="27"/>
      <x:c r="K4" s="27"/>
      <x:c r="L4" s="27"/>
      <x:c r="M4" s="27"/>
      <x:c r="N4" s="27"/>
      <x:c r="O4" s="27"/>
      <x:c r="P4" s="27"/>
    </x:row>
    <x:row r="5">
      <x:c r="B5" s="27"/>
      <x:c r="C5" s="27"/>
      <x:c r="D5" s="27"/>
      <x:c r="E5" s="27"/>
      <x:c r="F5" s="27"/>
      <x:c r="G5" s="27"/>
      <x:c r="H5" s="27"/>
      <x:c r="I5" s="27"/>
      <x:c r="J5" s="27"/>
      <x:c r="K5" s="27"/>
      <x:c r="L5" s="27"/>
      <x:c r="M5" s="27"/>
      <x:c r="N5" s="27"/>
      <x:c r="O5" s="27"/>
      <x:c r="P5" s="27"/>
    </x:row>
    <x:row r="6">
      <x:c r="B6" s="8" t="str">
        <x:v>Salesperson</x:v>
      </x:c>
      <x:c r="C6" s="8" t="str">
        <x:v>Product</x:v>
      </x:c>
      <x:c r="D6" s="8" t="str">
        <x:v>Jan</x:v>
      </x:c>
      <x:c r="E6" s="8" t="str">
        <x:v>Feb</x:v>
      </x:c>
      <x:c r="F6" s="8" t="str">
        <x:v>Mar</x:v>
      </x:c>
      <x:c r="G6" s="8" t="str">
        <x:v>Apr</x:v>
      </x:c>
      <x:c r="H6" s="8" t="str">
        <x:v>May</x:v>
      </x:c>
      <x:c r="I6" s="8" t="str">
        <x:v>Jun</x:v>
      </x:c>
      <x:c r="J6" s="8" t="str">
        <x:v>Jul</x:v>
      </x:c>
      <x:c r="K6" s="8" t="str">
        <x:v>Aug</x:v>
      </x:c>
      <x:c r="L6" s="8" t="str">
        <x:v>Sep</x:v>
      </x:c>
      <x:c r="M6" s="8" t="str">
        <x:v>Oct</x:v>
      </x:c>
      <x:c r="N6" s="8" t="str">
        <x:v>Nov</x:v>
      </x:c>
      <x:c r="O6" s="8" t="str">
        <x:v>Dec</x:v>
      </x:c>
      <x:c r="P6" s="8" t="str">
        <x:v>FY Total</x:v>
      </x:c>
    </x:row>
    <x:row r="7">
      <x:c r="B7" s="27" t="str">
        <x:v>Anna Power</x:v>
      </x:c>
      <x:c r="C7" s="27" t="str">
        <x:v>Corporate management training</x:v>
      </x:c>
      <x:c r="D7" s="40" t="n">
        <x:v>12500</x:v>
      </x:c>
      <x:c r="E7" s="40" t="n">
        <x:v>12500</x:v>
      </x:c>
      <x:c r="F7" s="40" t="n">
        <x:v>12500</x:v>
      </x:c>
      <x:c r="G7" s="40" t="n">
        <x:v>15000</x:v>
      </x:c>
      <x:c r="H7" s="40" t="n">
        <x:v>12500</x:v>
      </x:c>
      <x:c r="I7" s="40" t="n">
        <x:v>12500</x:v>
      </x:c>
      <x:c r="J7" s="40" t="n">
        <x:v>10000</x:v>
      </x:c>
      <x:c r="K7" s="40" t="n">
        <x:v>12500</x:v>
      </x:c>
      <x:c r="L7" s="40" t="n">
        <x:v>15000</x:v>
      </x:c>
      <x:c r="M7" s="40" t="n">
        <x:v>15000</x:v>
      </x:c>
      <x:c r="N7" s="40" t="n">
        <x:v>12500</x:v>
      </x:c>
      <x:c r="O7" s="40" t="n">
        <x:v>12500</x:v>
      </x:c>
      <x:c r="P7" s="40" t="n">
        <x:f>SUM(D7:O7)</x:f>
        <x:v>155000</x:v>
      </x:c>
    </x:row>
    <x:row r="8">
      <x:c r="B8" s="27" t="str">
        <x:v>Anna Power</x:v>
      </x:c>
      <x:c r="C8" s="27" t="str">
        <x:v>Corporate sales training</x:v>
      </x:c>
      <x:c r="D8" s="40" t="n">
        <x:v>2500</x:v>
      </x:c>
      <x:c r="E8" s="40" t="n">
        <x:v>5000</x:v>
      </x:c>
      <x:c r="F8" s="40" t="n">
        <x:v>5000</x:v>
      </x:c>
      <x:c r="G8" s="40" t="n">
        <x:v>5000</x:v>
      </x:c>
      <x:c r="H8" s="40" t="n">
        <x:v>5000</x:v>
      </x:c>
      <x:c r="I8" s="40" t="n">
        <x:v>5000</x:v>
      </x:c>
      <x:c r="J8" s="40" t="n">
        <x:v>2500</x:v>
      </x:c>
      <x:c r="K8" s="40" t="n">
        <x:v>5000</x:v>
      </x:c>
      <x:c r="L8" s="40" t="n">
        <x:v>5000</x:v>
      </x:c>
      <x:c r="M8" s="40" t="n">
        <x:v>5000</x:v>
      </x:c>
      <x:c r="N8" s="40" t="n">
        <x:v>5000</x:v>
      </x:c>
      <x:c r="O8" s="40" t="n">
        <x:v>2500</x:v>
      </x:c>
      <x:c r="P8" s="40" t="n">
        <x:f>SUM(D8:O8)</x:f>
        <x:v>52500</x:v>
      </x:c>
    </x:row>
    <x:row r="9">
      <x:c r="B9" s="27" t="str">
        <x:v>Anna Power</x:v>
      </x:c>
      <x:c r="C9" s="27" t="str">
        <x:v>Open program seats</x:v>
      </x:c>
      <x:c r="D9" s="40" t="n">
        <x:v>2000</x:v>
      </x:c>
      <x:c r="E9" s="40" t="n">
        <x:v>2500</x:v>
      </x:c>
      <x:c r="F9" s="40" t="n">
        <x:v>2500</x:v>
      </x:c>
      <x:c r="G9" s="40" t="n">
        <x:v>3000</x:v>
      </x:c>
      <x:c r="H9" s="40" t="n">
        <x:v>2500</x:v>
      </x:c>
      <x:c r="I9" s="40" t="n">
        <x:v>2500</x:v>
      </x:c>
      <x:c r="J9" s="40" t="n">
        <x:v>1500</x:v>
      </x:c>
      <x:c r="K9" s="40" t="n">
        <x:v>2500</x:v>
      </x:c>
      <x:c r="L9" s="40" t="n">
        <x:v>3500</x:v>
      </x:c>
      <x:c r="M9" s="40" t="n">
        <x:v>3500</x:v>
      </x:c>
      <x:c r="N9" s="40" t="n">
        <x:v>2500</x:v>
      </x:c>
      <x:c r="O9" s="40" t="n">
        <x:v>2000</x:v>
      </x:c>
      <x:c r="P9" s="40" t="n">
        <x:f>SUM(D9:O9)</x:f>
        <x:v>30500</x:v>
      </x:c>
    </x:row>
    <x:row r="10">
      <x:c r="B10" s="27" t="str">
        <x:v>Mark Pressure</x:v>
      </x:c>
      <x:c r="C10" s="27" t="str">
        <x:v>Corporate management training</x:v>
      </x:c>
      <x:c r="D10" s="40" t="n">
        <x:v>2500</x:v>
      </x:c>
      <x:c r="E10" s="40" t="n">
        <x:v>2500</x:v>
      </x:c>
      <x:c r="F10" s="40" t="n">
        <x:v>5000</x:v>
      </x:c>
      <x:c r="G10" s="40" t="n">
        <x:v>5000</x:v>
      </x:c>
      <x:c r="H10" s="40" t="n">
        <x:v>5000</x:v>
      </x:c>
      <x:c r="I10" s="40" t="n">
        <x:v>2500</x:v>
      </x:c>
      <x:c r="J10" s="40" t="n">
        <x:v>2500</x:v>
      </x:c>
      <x:c r="K10" s="40" t="n">
        <x:v>5000</x:v>
      </x:c>
      <x:c r="L10" s="40" t="n">
        <x:v>5000</x:v>
      </x:c>
      <x:c r="M10" s="40" t="n">
        <x:v>5000</x:v>
      </x:c>
      <x:c r="N10" s="40" t="n">
        <x:v>5000</x:v>
      </x:c>
      <x:c r="O10" s="40" t="n">
        <x:v>2500</x:v>
      </x:c>
      <x:c r="P10" s="40" t="n">
        <x:f>SUM(D10:O10)</x:f>
        <x:v>47500</x:v>
      </x:c>
    </x:row>
    <x:row r="11">
      <x:c r="B11" s="27" t="str">
        <x:v>Mark Pressure</x:v>
      </x:c>
      <x:c r="C11" s="27" t="str">
        <x:v>Corporate sales training</x:v>
      </x:c>
      <x:c r="D11" s="40" t="n">
        <x:v>12500</x:v>
      </x:c>
      <x:c r="E11" s="40" t="n">
        <x:v>12500</x:v>
      </x:c>
      <x:c r="F11" s="40" t="n">
        <x:v>12500</x:v>
      </x:c>
      <x:c r="G11" s="40" t="n">
        <x:v>15000</x:v>
      </x:c>
      <x:c r="H11" s="40" t="n">
        <x:v>12500</x:v>
      </x:c>
      <x:c r="I11" s="40" t="n">
        <x:v>10000</x:v>
      </x:c>
      <x:c r="J11" s="40" t="n">
        <x:v>7500</x:v>
      </x:c>
      <x:c r="K11" s="40" t="n">
        <x:v>10000</x:v>
      </x:c>
      <x:c r="L11" s="40" t="n">
        <x:v>15000</x:v>
      </x:c>
      <x:c r="M11" s="40" t="n">
        <x:v>15000</x:v>
      </x:c>
      <x:c r="N11" s="40" t="n">
        <x:v>12500</x:v>
      </x:c>
      <x:c r="O11" s="40" t="n">
        <x:v>10000</x:v>
      </x:c>
      <x:c r="P11" s="40" t="n">
        <x:f>SUM(D11:O11)</x:f>
        <x:v>145000</x:v>
      </x:c>
    </x:row>
    <x:row r="12">
      <x:c r="B12" s="27" t="str">
        <x:v>Mark Pressure</x:v>
      </x:c>
      <x:c r="C12" s="27" t="str">
        <x:v>Open program seats</x:v>
      </x:c>
      <x:c r="D12" s="40" t="n">
        <x:v>2000</x:v>
      </x:c>
      <x:c r="E12" s="40" t="n">
        <x:v>2500</x:v>
      </x:c>
      <x:c r="F12" s="40" t="n">
        <x:v>2500</x:v>
      </x:c>
      <x:c r="G12" s="40" t="n">
        <x:v>3000</x:v>
      </x:c>
      <x:c r="H12" s="40" t="n">
        <x:v>2500</x:v>
      </x:c>
      <x:c r="I12" s="40" t="n">
        <x:v>2000</x:v>
      </x:c>
      <x:c r="J12" s="40" t="n">
        <x:v>1000</x:v>
      </x:c>
      <x:c r="K12" s="40" t="n">
        <x:v>2000</x:v>
      </x:c>
      <x:c r="L12" s="40" t="n">
        <x:v>3500</x:v>
      </x:c>
      <x:c r="M12" s="40" t="n">
        <x:v>4000</x:v>
      </x:c>
      <x:c r="N12" s="40" t="n">
        <x:v>3000</x:v>
      </x:c>
      <x:c r="O12" s="40" t="n">
        <x:v>2000</x:v>
      </x:c>
      <x:c r="P12" s="40" t="n">
        <x:f>SUM(D12:O12)</x:f>
        <x:v>30000</x:v>
      </x:c>
    </x:row>
    <x:row r="13">
      <x:c r="B13" s="27" t="str">
        <x:v>Linda Smile</x:v>
      </x:c>
      <x:c r="C13" s="27" t="str">
        <x:v>Corporate management training</x:v>
      </x:c>
      <x:c r="D13" s="40" t="n">
        <x:v>5000</x:v>
      </x:c>
      <x:c r="E13" s="40" t="n">
        <x:v>5000</x:v>
      </x:c>
      <x:c r="F13" s="40" t="n">
        <x:v>5000</x:v>
      </x:c>
      <x:c r="G13" s="40" t="n">
        <x:v>7500</x:v>
      </x:c>
      <x:c r="H13" s="40" t="n">
        <x:v>5000</x:v>
      </x:c>
      <x:c r="I13" s="40" t="n">
        <x:v>5000</x:v>
      </x:c>
      <x:c r="J13" s="40" t="n">
        <x:v>2500</x:v>
      </x:c>
      <x:c r="K13" s="40" t="n">
        <x:v>5000</x:v>
      </x:c>
      <x:c r="L13" s="40" t="n">
        <x:v>7500</x:v>
      </x:c>
      <x:c r="M13" s="40" t="n">
        <x:v>7500</x:v>
      </x:c>
      <x:c r="N13" s="40" t="n">
        <x:v>5000</x:v>
      </x:c>
      <x:c r="O13" s="40" t="n">
        <x:v>5000</x:v>
      </x:c>
      <x:c r="P13" s="40" t="n">
        <x:f>SUM(D13:O13)</x:f>
        <x:v>65000</x:v>
      </x:c>
    </x:row>
    <x:row r="14">
      <x:c r="B14" s="27" t="str">
        <x:v>Linda Smile</x:v>
      </x:c>
      <x:c r="C14" s="27" t="str">
        <x:v>Corporate sales training</x:v>
      </x:c>
      <x:c r="D14" s="40" t="n">
        <x:v>2500</x:v>
      </x:c>
      <x:c r="E14" s="40" t="n">
        <x:v>5000</x:v>
      </x:c>
      <x:c r="F14" s="40" t="n">
        <x:v>5000</x:v>
      </x:c>
      <x:c r="G14" s="40" t="n">
        <x:v>5000</x:v>
      </x:c>
      <x:c r="H14" s="40" t="n">
        <x:v>5000</x:v>
      </x:c>
      <x:c r="I14" s="40" t="n">
        <x:v>2500</x:v>
      </x:c>
      <x:c r="J14" s="40" t="n">
        <x:v>2500</x:v>
      </x:c>
      <x:c r="K14" s="40" t="n">
        <x:v>5000</x:v>
      </x:c>
      <x:c r="L14" s="40" t="n">
        <x:v>5000</x:v>
      </x:c>
      <x:c r="M14" s="40" t="n">
        <x:v>7500</x:v>
      </x:c>
      <x:c r="N14" s="40" t="n">
        <x:v>5000</x:v>
      </x:c>
      <x:c r="O14" s="40" t="n">
        <x:v>5000</x:v>
      </x:c>
      <x:c r="P14" s="40" t="n">
        <x:f>SUM(D14:O14)</x:f>
        <x:v>55000</x:v>
      </x:c>
    </x:row>
    <x:row r="15">
      <x:c r="B15" s="27" t="str">
        <x:v>Linda Smile</x:v>
      </x:c>
      <x:c r="C15" s="27" t="str">
        <x:v>Open program seats</x:v>
      </x:c>
      <x:c r="D15" s="40" t="n">
        <x:v>4000</x:v>
      </x:c>
      <x:c r="E15" s="40" t="n">
        <x:v>5000</x:v>
      </x:c>
      <x:c r="F15" s="40" t="n">
        <x:v>6000</x:v>
      </x:c>
      <x:c r="G15" s="40" t="n">
        <x:v>8000</x:v>
      </x:c>
      <x:c r="H15" s="40" t="n">
        <x:v>7000</x:v>
      </x:c>
      <x:c r="I15" s="40" t="n">
        <x:v>6000</x:v>
      </x:c>
      <x:c r="J15" s="40" t="n">
        <x:v>3000</x:v>
      </x:c>
      <x:c r="K15" s="40" t="n">
        <x:v>5000</x:v>
      </x:c>
      <x:c r="L15" s="40" t="n">
        <x:v>9000</x:v>
      </x:c>
      <x:c r="M15" s="40" t="n">
        <x:v>10000</x:v>
      </x:c>
      <x:c r="N15" s="40" t="n">
        <x:v>8000</x:v>
      </x:c>
      <x:c r="O15" s="40" t="n">
        <x:v>7000</x:v>
      </x:c>
      <x:c r="P15" s="40" t="n">
        <x:f>SUM(D15:O15)</x:f>
        <x:v>78000</x:v>
      </x:c>
    </x:row>
    <x:row r="16">
      <x:c r="B16" s="27" t="str">
        <x:v>Peter Late</x:v>
      </x:c>
      <x:c r="C16" s="27" t="str">
        <x:v>Corporate management training</x:v>
      </x:c>
      <x:c r="D16" s="40" t="n">
        <x:v>2500</x:v>
      </x:c>
      <x:c r="E16" s="40" t="n">
        <x:v>2500</x:v>
      </x:c>
      <x:c r="F16" s="40" t="n">
        <x:v>5000</x:v>
      </x:c>
      <x:c r="G16" s="40" t="n">
        <x:v>5000</x:v>
      </x:c>
      <x:c r="H16" s="40" t="n">
        <x:v>2500</x:v>
      </x:c>
      <x:c r="I16" s="40" t="n">
        <x:v>2500</x:v>
      </x:c>
      <x:c r="J16" s="40" t="n">
        <x:v>2500</x:v>
      </x:c>
      <x:c r="K16" s="40" t="n">
        <x:v>5000</x:v>
      </x:c>
      <x:c r="L16" s="40" t="n">
        <x:v>5000</x:v>
      </x:c>
      <x:c r="M16" s="40" t="n">
        <x:v>5000</x:v>
      </x:c>
      <x:c r="N16" s="40" t="n">
        <x:v>2500</x:v>
      </x:c>
      <x:c r="O16" s="40" t="n">
        <x:v>2500</x:v>
      </x:c>
      <x:c r="P16" s="40" t="n">
        <x:f>SUM(D16:O16)</x:f>
        <x:v>42500</x:v>
      </x:c>
    </x:row>
    <x:row r="17">
      <x:c r="B17" s="27" t="str">
        <x:v>Peter Late</x:v>
      </x:c>
      <x:c r="C17" s="27" t="str">
        <x:v>Corporate sales training</x:v>
      </x:c>
      <x:c r="D17" s="40" t="n">
        <x:v>5000</x:v>
      </x:c>
      <x:c r="E17" s="40" t="n">
        <x:v>5000</x:v>
      </x:c>
      <x:c r="F17" s="40" t="n">
        <x:v>5000</x:v>
      </x:c>
      <x:c r="G17" s="40" t="n">
        <x:v>5000</x:v>
      </x:c>
      <x:c r="H17" s="40" t="n">
        <x:v>5000</x:v>
      </x:c>
      <x:c r="I17" s="40" t="n">
        <x:v>5000</x:v>
      </x:c>
      <x:c r="J17" s="40" t="n">
        <x:v>2500</x:v>
      </x:c>
      <x:c r="K17" s="40" t="n">
        <x:v>5000</x:v>
      </x:c>
      <x:c r="L17" s="40" t="n">
        <x:v>7500</x:v>
      </x:c>
      <x:c r="M17" s="40" t="n">
        <x:v>7500</x:v>
      </x:c>
      <x:c r="N17" s="40" t="n">
        <x:v>5000</x:v>
      </x:c>
      <x:c r="O17" s="40" t="n">
        <x:v>5000</x:v>
      </x:c>
      <x:c r="P17" s="40" t="n">
        <x:f>SUM(D17:O17)</x:f>
        <x:v>62500</x:v>
      </x:c>
    </x:row>
    <x:row r="18">
      <x:c r="B18" s="27" t="str">
        <x:v>Peter Late</x:v>
      </x:c>
      <x:c r="C18" s="27" t="str">
        <x:v>Open program seats</x:v>
      </x:c>
      <x:c r="D18" s="40" t="n">
        <x:v>2500</x:v>
      </x:c>
      <x:c r="E18" s="40" t="n">
        <x:v>3000</x:v>
      </x:c>
      <x:c r="F18" s="40" t="n">
        <x:v>3500</x:v>
      </x:c>
      <x:c r="G18" s="40" t="n">
        <x:v>4000</x:v>
      </x:c>
      <x:c r="H18" s="40" t="n">
        <x:v>3500</x:v>
      </x:c>
      <x:c r="I18" s="40" t="n">
        <x:v>3000</x:v>
      </x:c>
      <x:c r="J18" s="40" t="n">
        <x:v>1500</x:v>
      </x:c>
      <x:c r="K18" s="40" t="n">
        <x:v>3000</x:v>
      </x:c>
      <x:c r="L18" s="40" t="n">
        <x:v>5000</x:v>
      </x:c>
      <x:c r="M18" s="40" t="n">
        <x:v>5500</x:v>
      </x:c>
      <x:c r="N18" s="40" t="n">
        <x:v>4000</x:v>
      </x:c>
      <x:c r="O18" s="40" t="n">
        <x:v>3500</x:v>
      </x:c>
      <x:c r="P18" s="40" t="n">
        <x:f>SUM(D18:O18)</x:f>
        <x:v>42000</x:v>
      </x:c>
    </x:row>
    <x:row r="19">
      <x:c r="B19" s="27" t="str">
        <x:v>Ella Fast</x:v>
      </x:c>
      <x:c r="C19" s="27" t="str">
        <x:v>Corporate management training</x:v>
      </x:c>
      <x:c r="D19" s="40" t="n">
        <x:v>0</x:v>
      </x:c>
      <x:c r="E19" s="40" t="n">
        <x:v>0</x:v>
      </x:c>
      <x:c r="F19" s="40" t="n">
        <x:v>0</x:v>
      </x:c>
      <x:c r="G19" s="40" t="n">
        <x:v>0</x:v>
      </x:c>
      <x:c r="H19" s="40" t="n">
        <x:v>0</x:v>
      </x:c>
      <x:c r="I19" s="40" t="n">
        <x:v>7500</x:v>
      </x:c>
      <x:c r="J19" s="40" t="n">
        <x:v>10000</x:v>
      </x:c>
      <x:c r="K19" s="40" t="n">
        <x:v>12500</x:v>
      </x:c>
      <x:c r="L19" s="40" t="n">
        <x:v>12500</x:v>
      </x:c>
      <x:c r="M19" s="40" t="n">
        <x:v>15000</x:v>
      </x:c>
      <x:c r="N19" s="40" t="n">
        <x:v>15000</x:v>
      </x:c>
      <x:c r="O19" s="40" t="n">
        <x:v>12500</x:v>
      </x:c>
      <x:c r="P19" s="40" t="n">
        <x:f>SUM(D19:O19)</x:f>
        <x:v>85000</x:v>
      </x:c>
    </x:row>
    <x:row r="20">
      <x:c r="B20" s="27" t="str">
        <x:v>Ella Fast</x:v>
      </x:c>
      <x:c r="C20" s="27" t="str">
        <x:v>Corporate sales training</x:v>
      </x:c>
      <x:c r="D20" s="40" t="n">
        <x:v>0</x:v>
      </x:c>
      <x:c r="E20" s="40" t="n">
        <x:v>0</x:v>
      </x:c>
      <x:c r="F20" s="40" t="n">
        <x:v>0</x:v>
      </x:c>
      <x:c r="G20" s="40" t="n">
        <x:v>0</x:v>
      </x:c>
      <x:c r="H20" s="40" t="n">
        <x:v>0</x:v>
      </x:c>
      <x:c r="I20" s="40" t="n">
        <x:v>5000</x:v>
      </x:c>
      <x:c r="J20" s="40" t="n">
        <x:v>7500</x:v>
      </x:c>
      <x:c r="K20" s="40" t="n">
        <x:v>10000</x:v>
      </x:c>
      <x:c r="L20" s="40" t="n">
        <x:v>10000</x:v>
      </x:c>
      <x:c r="M20" s="40" t="n">
        <x:v>12500</x:v>
      </x:c>
      <x:c r="N20" s="40" t="n">
        <x:v>12500</x:v>
      </x:c>
      <x:c r="O20" s="40" t="n">
        <x:v>10000</x:v>
      </x:c>
      <x:c r="P20" s="40" t="n">
        <x:f>SUM(D20:O20)</x:f>
        <x:v>67500</x:v>
      </x:c>
    </x:row>
    <x:row r="21">
      <x:c r="B21" s="27" t="str">
        <x:v>Ella Fast</x:v>
      </x:c>
      <x:c r="C21" s="27" t="str">
        <x:v>Open program seats</x:v>
      </x:c>
      <x:c r="D21" s="40" t="n">
        <x:v>0</x:v>
      </x:c>
      <x:c r="E21" s="40" t="n">
        <x:v>0</x:v>
      </x:c>
      <x:c r="F21" s="40" t="n">
        <x:v>0</x:v>
      </x:c>
      <x:c r="G21" s="40" t="n">
        <x:v>0</x:v>
      </x:c>
      <x:c r="H21" s="40" t="n">
        <x:v>0</x:v>
      </x:c>
      <x:c r="I21" s="40" t="n">
        <x:v>2500</x:v>
      </x:c>
      <x:c r="J21" s="40" t="n">
        <x:v>3000</x:v>
      </x:c>
      <x:c r="K21" s="40" t="n">
        <x:v>4000</x:v>
      </x:c>
      <x:c r="L21" s="40" t="n">
        <x:v>5000</x:v>
      </x:c>
      <x:c r="M21" s="40" t="n">
        <x:v>6000</x:v>
      </x:c>
      <x:c r="N21" s="40" t="n">
        <x:v>6000</x:v>
      </x:c>
      <x:c r="O21" s="40" t="n">
        <x:v>5000</x:v>
      </x:c>
      <x:c r="P21" s="40" t="n">
        <x:f>SUM(D21:O21)</x:f>
        <x:v>31500</x:v>
      </x:c>
    </x:row>
    <x:row r="22">
      <x:c r="B22" s="27"/>
      <x:c r="C22" s="27"/>
      <x:c r="D22" s="40"/>
      <x:c r="E22" s="40"/>
      <x:c r="F22" s="40"/>
      <x:c r="G22" s="40"/>
      <x:c r="H22" s="40"/>
      <x:c r="I22" s="40"/>
      <x:c r="J22" s="40"/>
      <x:c r="K22" s="40"/>
      <x:c r="L22" s="40"/>
      <x:c r="M22" s="40"/>
      <x:c r="N22" s="40"/>
      <x:c r="O22" s="40"/>
      <x:c r="P22" s="40"/>
    </x:row>
    <x:row r="23">
      <x:c r="B23" s="78" t="str">
        <x:v>TOTAL</x:v>
      </x:c>
      <x:c r="C23" s="78" t="str">
        <x:v>All products</x:v>
      </x:c>
      <x:c r="D23" s="79" t="n">
        <x:f>SUM(D7:D21)</x:f>
        <x:v>55500</x:v>
      </x:c>
      <x:c r="E23" s="79" t="n">
        <x:f>SUM(E7:E21)</x:f>
        <x:v>63000</x:v>
      </x:c>
      <x:c r="F23" s="79" t="n">
        <x:f>SUM(F7:F21)</x:f>
        <x:v>69500</x:v>
      </x:c>
      <x:c r="G23" s="79" t="n">
        <x:f>SUM(G7:G21)</x:f>
        <x:v>80500</x:v>
      </x:c>
      <x:c r="H23" s="79" t="n">
        <x:f>SUM(H7:H21)</x:f>
        <x:v>68000</x:v>
      </x:c>
      <x:c r="I23" s="79" t="n">
        <x:f>SUM(I7:I21)</x:f>
        <x:v>73500</x:v>
      </x:c>
      <x:c r="J23" s="79" t="n">
        <x:f>SUM(J7:J21)</x:f>
        <x:v>60000</x:v>
      </x:c>
      <x:c r="K23" s="79" t="n">
        <x:f>SUM(K7:K21)</x:f>
        <x:v>91500</x:v>
      </x:c>
      <x:c r="L23" s="79" t="n">
        <x:f>SUM(L7:L21)</x:f>
        <x:v>113500</x:v>
      </x:c>
      <x:c r="M23" s="79" t="n">
        <x:f>SUM(M7:M21)</x:f>
        <x:v>124000</x:v>
      </x:c>
      <x:c r="N23" s="79" t="n">
        <x:f>SUM(N7:N21)</x:f>
        <x:v>103500</x:v>
      </x:c>
      <x:c r="O23" s="79" t="n">
        <x:f>SUM(O7:O21)</x:f>
        <x:v>87000</x:v>
      </x:c>
      <x:c r="P23" s="79" t="n">
        <x:f>SUM(P7:P21)</x:f>
        <x:v>989500</x:v>
      </x:c>
    </x:row>
    <x:row r="24">
      <x:c r="B24" s="78" t="str">
        <x:v>Growth versus prior year</x:v>
      </x:c>
      <x:c r="C24" s="78" t="str">
        <x:v>Revenue growth</x:v>
      </x:c>
      <x:c r="D24" s="80" t="n">
        <x:f>D23/'02 Prior Year Sales'!D20-1</x:f>
        <x:v>0.247191011235955</x:v>
      </x:c>
      <x:c r="E24" s="80" t="n">
        <x:f>E23/'02 Prior Year Sales'!E20-1</x:f>
        <x:v>0.24752475247524752</x:v>
      </x:c>
      <x:c r="F24" s="80" t="n">
        <x:f>F23/'02 Prior Year Sales'!F20-1</x:f>
        <x:v>0.5274725274725274</x:v>
      </x:c>
      <x:c r="G24" s="80" t="n">
        <x:f>G23/'02 Prior Year Sales'!G20-1</x:f>
        <x:v>0.26771653543307083</x:v>
      </x:c>
      <x:c r="H24" s="80" t="n">
        <x:f>H23/'02 Prior Year Sales'!H20-1</x:f>
        <x:v>0.5813953488372092</x:v>
      </x:c>
      <x:c r="I24" s="80" t="n">
        <x:f>I23/'02 Prior Year Sales'!I20-1</x:f>
        <x:v>1.5344827586206895</x:v>
      </x:c>
      <x:c r="J24" s="80" t="n">
        <x:f>J23/'02 Prior Year Sales'!J20-1</x:f>
        <x:v>3</x:v>
      </x:c>
      <x:c r="K24" s="80" t="n">
        <x:f>K23/'02 Prior Year Sales'!K20-1</x:f>
        <x:v>1.772727272727273</x:v>
      </x:c>
      <x:c r="L24" s="80" t="n">
        <x:f>L23/'02 Prior Year Sales'!L20-1</x:f>
        <x:v>0.8760330578512396</x:v>
      </x:c>
      <x:c r="M24" s="80" t="n">
        <x:f>M23/'02 Prior Year Sales'!M20-1</x:f>
        <x:v>0.8931297709923665</x:v>
      </x:c>
      <x:c r="N24" s="80" t="n">
        <x:f>N23/'02 Prior Year Sales'!N20-1</x:f>
        <x:v>1.5875</x:v>
      </x:c>
      <x:c r="O24" s="80" t="n">
        <x:f>O23/'02 Prior Year Sales'!O20-1</x:f>
        <x:v>1.2597402597402598</x:v>
      </x:c>
      <x:c r="P24" s="80" t="n">
        <x:f>P23/'02 Prior Year Sales'!P20-1</x:f>
        <x:v>0.8722800378429518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6" ySplit="6" topLeftCell="G7" activePane="bottomRight" state="frozen"/>
    </x:sheetView>
  </x:sheetViews>
  <x:sheetFormatPr defaultRowHeight="15"/>
  <x:cols>
    <x:col min="1" max="1" width="2" hidden="0" customWidth="1"/>
    <x:col min="2" max="2" width="9" hidden="0" customWidth="1"/>
    <x:col min="3" max="3" width="9" hidden="0" customWidth="1"/>
    <x:col min="4" max="4" width="18" hidden="0" customWidth="1"/>
    <x:col min="5" max="5" width="28" hidden="0" customWidth="1"/>
    <x:col min="6" max="6" width="17" hidden="0" customWidth="1"/>
    <x:col min="7" max="7" width="8" hidden="0" customWidth="1"/>
    <x:col min="8" max="8" width="12" hidden="0" customWidth="1"/>
    <x:col min="9" max="9" width="10" hidden="0" customWidth="1"/>
    <x:col min="10" max="10" width="12" hidden="0" customWidth="1"/>
    <x:col min="11" max="11" width="12" hidden="0" customWidth="1"/>
    <x:col min="12" max="12" width="10" hidden="0" customWidth="1"/>
    <x:col min="13" max="13" width="12" hidden="0" customWidth="1"/>
    <x:col min="14" max="14" width="10" hidden="0" customWidth="1"/>
    <x:col min="15" max="15" width="10" hidden="0" customWidth="1"/>
    <x:col min="16" max="16" width="10" hidden="0" customWidth="1"/>
    <x:col min="17" max="17" width="12" hidden="0" customWidth="1"/>
    <x:col min="18" max="18" width="12" hidden="0" customWidth="1"/>
    <x:col min="19" max="19" width="12" hidden="0" customWidth="1"/>
    <x:col min="20" max="20" width="10" hidden="0" customWidth="1"/>
  </x:cols>
  <x:sheetData>
    <x:row r="2">
      <x:c r="B2" s="24" t="str">
        <x:v>Draft Program Plan</x:v>
      </x:c>
      <x:c r="C2" s="25"/>
      <x:c r="D2" s="25"/>
      <x:c r="E2" s="25"/>
      <x:c r="F2" s="25"/>
      <x:c r="G2" s="25"/>
      <x:c r="H2" s="25"/>
      <x:c r="I2" s="25"/>
      <x:c r="J2" s="25"/>
      <x:c r="K2" s="25"/>
      <x:c r="L2" s="25"/>
      <x:c r="M2" s="25"/>
      <x:c r="N2" s="25"/>
      <x:c r="O2" s="25"/>
      <x:c r="P2" s="25"/>
      <x:c r="Q2" s="25"/>
      <x:c r="R2" s="25"/>
      <x:c r="S2" s="25"/>
      <x:c r="T2" s="25"/>
    </x:row>
    <x:row r="3">
      <x:c r="B3" s="26" t="str">
        <x:v>Programs scheduled by operations for 2026. Revenue and direct costs are calculated from the supplied plan.</x:v>
      </x:c>
      <x:c r="C3" s="26"/>
      <x:c r="D3" s="26"/>
      <x:c r="E3" s="26"/>
      <x:c r="F3" s="26"/>
      <x:c r="G3" s="26"/>
      <x:c r="H3" s="26"/>
      <x:c r="I3" s="26"/>
      <x:c r="J3" s="26"/>
      <x:c r="K3" s="26"/>
      <x:c r="L3" s="26"/>
      <x:c r="M3" s="26"/>
      <x:c r="N3" s="26"/>
      <x:c r="O3" s="26"/>
      <x:c r="P3" s="26"/>
      <x:c r="Q3" s="26"/>
      <x:c r="R3" s="26"/>
      <x:c r="S3" s="26"/>
      <x:c r="T3" s="26"/>
    </x:row>
    <x:row r="4">
      <x:c r="B4" s="27"/>
      <x:c r="C4" s="27"/>
      <x:c r="D4" s="27"/>
      <x:c r="E4" s="27"/>
      <x:c r="F4" s="27"/>
      <x:c r="G4" s="27"/>
      <x:c r="H4" s="27"/>
      <x:c r="I4" s="27"/>
      <x:c r="J4" s="27"/>
      <x:c r="K4" s="27"/>
      <x:c r="L4" s="27"/>
      <x:c r="M4" s="27"/>
      <x:c r="N4" s="27"/>
      <x:c r="O4" s="27"/>
      <x:c r="P4" s="27"/>
      <x:c r="Q4" s="27"/>
      <x:c r="R4" s="27"/>
      <x:c r="S4" s="27"/>
      <x:c r="T4" s="27"/>
    </x:row>
    <x:row r="5">
      <x:c r="B5" s="27"/>
      <x:c r="C5" s="27"/>
      <x:c r="D5" s="27"/>
      <x:c r="E5" s="27"/>
      <x:c r="F5" s="27"/>
      <x:c r="G5" s="27"/>
      <x:c r="H5" s="27"/>
      <x:c r="I5" s="27"/>
      <x:c r="J5" s="27"/>
      <x:c r="K5" s="27"/>
      <x:c r="L5" s="27"/>
      <x:c r="M5" s="27"/>
      <x:c r="N5" s="27"/>
      <x:c r="O5" s="27"/>
      <x:c r="P5" s="27"/>
      <x:c r="Q5" s="27"/>
      <x:c r="R5" s="27"/>
      <x:c r="S5" s="27"/>
      <x:c r="T5" s="27"/>
    </x:row>
    <x:row r="6">
      <x:c r="B6" s="8" t="str">
        <x:v>ID</x:v>
      </x:c>
      <x:c r="C6" s="8" t="str">
        <x:v>Month</x:v>
      </x:c>
      <x:c r="D6" s="8" t="str">
        <x:v>Salesperson</x:v>
      </x:c>
      <x:c r="E6" s="8" t="str">
        <x:v>Client or Event</x:v>
      </x:c>
      <x:c r="F6" s="8" t="str">
        <x:v>Type</x:v>
      </x:c>
      <x:c r="G6" s="8" t="str">
        <x:v>Days</x:v>
      </x:c>
      <x:c r="H6" s="8" t="str">
        <x:v>Participants</x:v>
      </x:c>
      <x:c r="I6" s="8" t="str">
        <x:v>Seat Price</x:v>
      </x:c>
      <x:c r="J6" s="8" t="str">
        <x:v>Revenue</x:v>
      </x:c>
      <x:c r="K6" s="8" t="str">
        <x:v>Instructor Cost</x:v>
      </x:c>
      <x:c r="L6" s="8" t="str">
        <x:v>Assistants</x:v>
      </x:c>
      <x:c r="M6" s="8" t="str">
        <x:v>Assistant Cost</x:v>
      </x:c>
      <x:c r="N6" s="8" t="str">
        <x:v>Venue</x:v>
      </x:c>
      <x:c r="O6" s="8" t="str">
        <x:v>Travel</x:v>
      </x:c>
      <x:c r="P6" s="8" t="str">
        <x:v>Materials</x:v>
      </x:c>
      <x:c r="Q6" s="8" t="str">
        <x:v>Sales Commission</x:v>
      </x:c>
      <x:c r="R6" s="8" t="str">
        <x:v>Direct Cost</x:v>
      </x:c>
      <x:c r="S6" s="8" t="str">
        <x:v>Contribution</x:v>
      </x:c>
      <x:c r="T6" s="8" t="str">
        <x:v>Margin</x:v>
      </x:c>
    </x:row>
    <x:row r="7">
      <x:c r="B7" s="27" t="str">
        <x:v>P01</x:v>
      </x:c>
      <x:c r="C7" s="27" t="str">
        <x:v>Jan</x:v>
      </x:c>
      <x:c r="D7" s="27" t="str">
        <x:v>Mark Pressure</x:v>
      </x:c>
      <x:c r="E7" s="27" t="str">
        <x:v>Never Enough Calls Ltd</x:v>
      </x:c>
      <x:c r="F7" s="27" t="str">
        <x:v>Standard corporate</x:v>
      </x:c>
      <x:c r="G7" s="27" t="n">
        <x:v>2</x:v>
      </x:c>
      <x:c r="H7" s="27" t="n">
        <x:v>20</x:v>
      </x:c>
      <x:c r="I7" s="27" t="n">
        <x:v>0</x:v>
      </x:c>
      <x:c r="J7" s="40" t="n">
        <x:f>IF(F7="Open",H7*I7,IF(F7="Large corporate",(2500+ROUNDUP(MAX(0,H7-20)/10,0)*650)*G7,2500*G7))</x:f>
        <x:v>5000</x:v>
      </x:c>
      <x:c r="K7" s="40" t="n">
        <x:f>G7*700</x:f>
        <x:v>1400</x:v>
      </x:c>
      <x:c r="L7" s="68" t="n">
        <x:f>IF(F7="Large corporate",MAX(0,ROUNDUP(H7/30,0)-1),0)</x:f>
        <x:v>0</x:v>
      </x:c>
      <x:c r="M7" s="40" t="n">
        <x:f>L7*175*G7</x:f>
        <x:v>0</x:v>
      </x:c>
      <x:c r="N7" s="40" t="n">
        <x:f>IF(F7="Open",600*G7,0)</x:f>
        <x:v>0</x:v>
      </x:c>
      <x:c r="O7" s="40" t="n">
        <x:v>0</x:v>
      </x:c>
      <x:c r="P7" s="40" t="n">
        <x:f>H7*15*G7</x:f>
        <x:v>600</x:v>
      </x:c>
      <x:c r="Q7" s="40" t="n">
        <x:f>J7*5%</x:f>
        <x:v>250</x:v>
      </x:c>
      <x:c r="R7" s="40" t="n">
        <x:f>SUM(K7,M7:Q7)</x:f>
        <x:v>2250</x:v>
      </x:c>
      <x:c r="S7" s="40" t="n">
        <x:f>J7-R7</x:f>
        <x:v>2750</x:v>
      </x:c>
      <x:c r="T7" s="85" t="n">
        <x:f>S7/J7</x:f>
        <x:v>0.55</x:v>
      </x:c>
    </x:row>
    <x:row r="8">
      <x:c r="B8" s="27" t="str">
        <x:v>P02</x:v>
      </x:c>
      <x:c r="C8" s="27" t="str">
        <x:v>Jan</x:v>
      </x:c>
      <x:c r="D8" s="27" t="str">
        <x:v>Linda Smile</x:v>
      </x:c>
      <x:c r="E8" s="27" t="str">
        <x:v>How to Look Busy All Day</x:v>
      </x:c>
      <x:c r="F8" s="27" t="str">
        <x:v>Open</x:v>
      </x:c>
      <x:c r="G8" s="27" t="n">
        <x:v>1</x:v>
      </x:c>
      <x:c r="H8" s="27" t="n">
        <x:v>18</x:v>
      </x:c>
      <x:c r="I8" s="27" t="n">
        <x:v>200</x:v>
      </x:c>
      <x:c r="J8" s="40" t="n">
        <x:f>IF(F8="Open",H8*I8,IF(F8="Large corporate",(2500+ROUNDUP(MAX(0,H8-20)/10,0)*650)*G8,2500*G8))</x:f>
        <x:v>3600</x:v>
      </x:c>
      <x:c r="K8" s="40" t="n">
        <x:f>G8*700</x:f>
        <x:v>700</x:v>
      </x:c>
      <x:c r="L8" s="68" t="n">
        <x:f>IF(F8="Large corporate",MAX(0,ROUNDUP(H8/30,0)-1),0)</x:f>
        <x:v>0</x:v>
      </x:c>
      <x:c r="M8" s="40" t="n">
        <x:f>L8*175*G8</x:f>
        <x:v>0</x:v>
      </x:c>
      <x:c r="N8" s="40" t="n">
        <x:f>IF(F8="Open",600*G8,0)</x:f>
        <x:v>600</x:v>
      </x:c>
      <x:c r="O8" s="40" t="n">
        <x:v>0</x:v>
      </x:c>
      <x:c r="P8" s="40" t="n">
        <x:f>H8*15*G8</x:f>
        <x:v>270</x:v>
      </x:c>
      <x:c r="Q8" s="40" t="n">
        <x:f>J8*5%</x:f>
        <x:v>180</x:v>
      </x:c>
      <x:c r="R8" s="40" t="n">
        <x:f>SUM(K8,M8:Q8)</x:f>
        <x:v>1750</x:v>
      </x:c>
      <x:c r="S8" s="40" t="n">
        <x:f>J8-R8</x:f>
        <x:v>1850</x:v>
      </x:c>
      <x:c r="T8" s="85" t="n">
        <x:f>S8/J8</x:f>
        <x:v>0.5138888888888888</x:v>
      </x:c>
    </x:row>
    <x:row r="9">
      <x:c r="B9" s="27" t="str">
        <x:v>P03</x:v>
      </x:c>
      <x:c r="C9" s="27" t="str">
        <x:v>Feb</x:v>
      </x:c>
      <x:c r="D9" s="27" t="str">
        <x:v>Anna Power</x:v>
      </x:c>
      <x:c r="E9" s="27" t="str">
        <x:v>Big Chair Bank</x:v>
      </x:c>
      <x:c r="F9" s="27" t="str">
        <x:v>Large corporate</x:v>
      </x:c>
      <x:c r="G9" s="27" t="n">
        <x:v>2</x:v>
      </x:c>
      <x:c r="H9" s="27" t="n">
        <x:v>60</x:v>
      </x:c>
      <x:c r="I9" s="27" t="n">
        <x:v>0</x:v>
      </x:c>
      <x:c r="J9" s="40" t="n">
        <x:f>IF(F9="Open",H9*I9,IF(F9="Large corporate",(2500+ROUNDUP(MAX(0,H9-20)/10,0)*650)*G9,2500*G9))</x:f>
        <x:v>10200</x:v>
      </x:c>
      <x:c r="K9" s="40" t="n">
        <x:f>G9*700</x:f>
        <x:v>1400</x:v>
      </x:c>
      <x:c r="L9" s="68" t="n">
        <x:f>IF(F9="Large corporate",MAX(0,ROUNDUP(H9/30,0)-1),0)</x:f>
        <x:v>1</x:v>
      </x:c>
      <x:c r="M9" s="40" t="n">
        <x:f>L9*175*G9</x:f>
        <x:v>350</x:v>
      </x:c>
      <x:c r="N9" s="40" t="n">
        <x:f>IF(F9="Open",600*G9,0)</x:f>
        <x:v>0</x:v>
      </x:c>
      <x:c r="O9" s="40" t="n">
        <x:v>800</x:v>
      </x:c>
      <x:c r="P9" s="40" t="n">
        <x:f>H9*15*G9</x:f>
        <x:v>1800</x:v>
      </x:c>
      <x:c r="Q9" s="40" t="n">
        <x:f>J9*5%</x:f>
        <x:v>510</x:v>
      </x:c>
      <x:c r="R9" s="40" t="n">
        <x:f>SUM(K9,M9:Q9)</x:f>
        <x:v>4860</x:v>
      </x:c>
      <x:c r="S9" s="40" t="n">
        <x:f>J9-R9</x:f>
        <x:v>5340</x:v>
      </x:c>
      <x:c r="T9" s="85" t="n">
        <x:f>S9/J9</x:f>
        <x:v>0.5235294117647059</x:v>
      </x:c>
    </x:row>
    <x:row r="10">
      <x:c r="B10" s="27" t="str">
        <x:v>P04</x:v>
      </x:c>
      <x:c r="C10" s="27" t="str">
        <x:v>Feb</x:v>
      </x:c>
      <x:c r="D10" s="27" t="str">
        <x:v>Peter Late</x:v>
      </x:c>
      <x:c r="E10" s="27" t="str">
        <x:v>Meetings About Meetings</x:v>
      </x:c>
      <x:c r="F10" s="27" t="str">
        <x:v>Standard corporate</x:v>
      </x:c>
      <x:c r="G10" s="27" t="n">
        <x:v>1</x:v>
      </x:c>
      <x:c r="H10" s="27" t="n">
        <x:v>18</x:v>
      </x:c>
      <x:c r="I10" s="27" t="n">
        <x:v>0</x:v>
      </x:c>
      <x:c r="J10" s="40" t="n">
        <x:f>IF(F10="Open",H10*I10,IF(F10="Large corporate",(2500+ROUNDUP(MAX(0,H10-20)/10,0)*650)*G10,2500*G10))</x:f>
        <x:v>2500</x:v>
      </x:c>
      <x:c r="K10" s="40" t="n">
        <x:f>G10*700</x:f>
        <x:v>700</x:v>
      </x:c>
      <x:c r="L10" s="68" t="n">
        <x:f>IF(F10="Large corporate",MAX(0,ROUNDUP(H10/30,0)-1),0)</x:f>
        <x:v>0</x:v>
      </x:c>
      <x:c r="M10" s="40" t="n">
        <x:f>L10*175*G10</x:f>
        <x:v>0</x:v>
      </x:c>
      <x:c r="N10" s="40" t="n">
        <x:f>IF(F10="Open",600*G10,0)</x:f>
        <x:v>0</x:v>
      </x:c>
      <x:c r="O10" s="40" t="n">
        <x:v>0</x:v>
      </x:c>
      <x:c r="P10" s="40" t="n">
        <x:f>H10*15*G10</x:f>
        <x:v>270</x:v>
      </x:c>
      <x:c r="Q10" s="40" t="n">
        <x:f>J10*5%</x:f>
        <x:v>125</x:v>
      </x:c>
      <x:c r="R10" s="40" t="n">
        <x:f>SUM(K10,M10:Q10)</x:f>
        <x:v>1095</x:v>
      </x:c>
      <x:c r="S10" s="40" t="n">
        <x:f>J10-R10</x:f>
        <x:v>1405</x:v>
      </x:c>
      <x:c r="T10" s="85" t="n">
        <x:f>S10/J10</x:f>
        <x:v>0.562</x:v>
      </x:c>
    </x:row>
    <x:row r="11">
      <x:c r="B11" s="27" t="str">
        <x:v>P05</x:v>
      </x:c>
      <x:c r="C11" s="27" t="str">
        <x:v>Mar</x:v>
      </x:c>
      <x:c r="D11" s="27" t="str">
        <x:v>Anna Power</x:v>
      </x:c>
      <x:c r="E11" s="27" t="str">
        <x:v>Credit for Other People's Work</x:v>
      </x:c>
      <x:c r="F11" s="27" t="str">
        <x:v>Standard corporate</x:v>
      </x:c>
      <x:c r="G11" s="27" t="n">
        <x:v>2</x:v>
      </x:c>
      <x:c r="H11" s="27" t="n">
        <x:v>20</x:v>
      </x:c>
      <x:c r="I11" s="27" t="n">
        <x:v>0</x:v>
      </x:c>
      <x:c r="J11" s="40" t="n">
        <x:f>IF(F11="Open",H11*I11,IF(F11="Large corporate",(2500+ROUNDUP(MAX(0,H11-20)/10,0)*650)*G11,2500*G11))</x:f>
        <x:v>5000</x:v>
      </x:c>
      <x:c r="K11" s="40" t="n">
        <x:f>G11*700</x:f>
        <x:v>1400</x:v>
      </x:c>
      <x:c r="L11" s="68" t="n">
        <x:f>IF(F11="Large corporate",MAX(0,ROUNDUP(H11/30,0)-1),0)</x:f>
        <x:v>0</x:v>
      </x:c>
      <x:c r="M11" s="40" t="n">
        <x:f>L11*175*G11</x:f>
        <x:v>0</x:v>
      </x:c>
      <x:c r="N11" s="40" t="n">
        <x:f>IF(F11="Open",600*G11,0)</x:f>
        <x:v>0</x:v>
      </x:c>
      <x:c r="O11" s="40" t="n">
        <x:v>300</x:v>
      </x:c>
      <x:c r="P11" s="40" t="n">
        <x:f>H11*15*G11</x:f>
        <x:v>600</x:v>
      </x:c>
      <x:c r="Q11" s="40" t="n">
        <x:f>J11*5%</x:f>
        <x:v>250</x:v>
      </x:c>
      <x:c r="R11" s="40" t="n">
        <x:f>SUM(K11,M11:Q11)</x:f>
        <x:v>2550</x:v>
      </x:c>
      <x:c r="S11" s="40" t="n">
        <x:f>J11-R11</x:f>
        <x:v>2450</x:v>
      </x:c>
      <x:c r="T11" s="85" t="n">
        <x:f>S11/J11</x:f>
        <x:v>0.49</x:v>
      </x:c>
    </x:row>
    <x:row r="12">
      <x:c r="B12" s="27" t="str">
        <x:v>P06</x:v>
      </x:c>
      <x:c r="C12" s="27" t="str">
        <x:v>Mar</x:v>
      </x:c>
      <x:c r="D12" s="27" t="str">
        <x:v>Linda Smile</x:v>
      </x:c>
      <x:c r="E12" s="27" t="str">
        <x:v>Advanced Micromanagement</x:v>
      </x:c>
      <x:c r="F12" s="27" t="str">
        <x:v>Open</x:v>
      </x:c>
      <x:c r="G12" s="27" t="n">
        <x:v>2</x:v>
      </x:c>
      <x:c r="H12" s="27" t="n">
        <x:v>20</x:v>
      </x:c>
      <x:c r="I12" s="27" t="n">
        <x:v>500</x:v>
      </x:c>
      <x:c r="J12" s="40" t="n">
        <x:f>IF(F12="Open",H12*I12,IF(F12="Large corporate",(2500+ROUNDUP(MAX(0,H12-20)/10,0)*650)*G12,2500*G12))</x:f>
        <x:v>10000</x:v>
      </x:c>
      <x:c r="K12" s="40" t="n">
        <x:f>G12*700</x:f>
        <x:v>1400</x:v>
      </x:c>
      <x:c r="L12" s="68" t="n">
        <x:f>IF(F12="Large corporate",MAX(0,ROUNDUP(H12/30,0)-1),0)</x:f>
        <x:v>0</x:v>
      </x:c>
      <x:c r="M12" s="40" t="n">
        <x:f>L12*175*G12</x:f>
        <x:v>0</x:v>
      </x:c>
      <x:c r="N12" s="40" t="n">
        <x:f>IF(F12="Open",600*G12,0)</x:f>
        <x:v>1200</x:v>
      </x:c>
      <x:c r="O12" s="40" t="n">
        <x:v>0</x:v>
      </x:c>
      <x:c r="P12" s="40" t="n">
        <x:f>H12*15*G12</x:f>
        <x:v>600</x:v>
      </x:c>
      <x:c r="Q12" s="40" t="n">
        <x:f>J12*5%</x:f>
        <x:v>500</x:v>
      </x:c>
      <x:c r="R12" s="40" t="n">
        <x:f>SUM(K12,M12:Q12)</x:f>
        <x:v>3700</x:v>
      </x:c>
      <x:c r="S12" s="40" t="n">
        <x:f>J12-R12</x:f>
        <x:v>6300</x:v>
      </x:c>
      <x:c r="T12" s="85" t="n">
        <x:f>S12/J12</x:f>
        <x:v>0.63</x:v>
      </x:c>
    </x:row>
    <x:row r="13">
      <x:c r="B13" s="27" t="str">
        <x:v>P07</x:v>
      </x:c>
      <x:c r="C13" s="27" t="str">
        <x:v>Apr</x:v>
      </x:c>
      <x:c r="D13" s="27" t="str">
        <x:v>Mark Pressure</x:v>
      </x:c>
      <x:c r="E13" s="27" t="str">
        <x:v>Call Until They Buy</x:v>
      </x:c>
      <x:c r="F13" s="27" t="str">
        <x:v>Standard corporate</x:v>
      </x:c>
      <x:c r="G13" s="27" t="n">
        <x:v>2</x:v>
      </x:c>
      <x:c r="H13" s="27" t="n">
        <x:v>20</x:v>
      </x:c>
      <x:c r="I13" s="27" t="n">
        <x:v>0</x:v>
      </x:c>
      <x:c r="J13" s="40" t="n">
        <x:f>IF(F13="Open",H13*I13,IF(F13="Large corporate",(2500+ROUNDUP(MAX(0,H13-20)/10,0)*650)*G13,2500*G13))</x:f>
        <x:v>5000</x:v>
      </x:c>
      <x:c r="K13" s="40" t="n">
        <x:f>G13*700</x:f>
        <x:v>1400</x:v>
      </x:c>
      <x:c r="L13" s="68" t="n">
        <x:f>IF(F13="Large corporate",MAX(0,ROUNDUP(H13/30,0)-1),0)</x:f>
        <x:v>0</x:v>
      </x:c>
      <x:c r="M13" s="40" t="n">
        <x:f>L13*175*G13</x:f>
        <x:v>0</x:v>
      </x:c>
      <x:c r="N13" s="40" t="n">
        <x:f>IF(F13="Open",600*G13,0)</x:f>
        <x:v>0</x:v>
      </x:c>
      <x:c r="O13" s="40" t="n">
        <x:v>250</x:v>
      </x:c>
      <x:c r="P13" s="40" t="n">
        <x:f>H13*15*G13</x:f>
        <x:v>600</x:v>
      </x:c>
      <x:c r="Q13" s="40" t="n">
        <x:f>J13*5%</x:f>
        <x:v>250</x:v>
      </x:c>
      <x:c r="R13" s="40" t="n">
        <x:f>SUM(K13,M13:Q13)</x:f>
        <x:v>2500</x:v>
      </x:c>
      <x:c r="S13" s="40" t="n">
        <x:f>J13-R13</x:f>
        <x:v>2500</x:v>
      </x:c>
      <x:c r="T13" s="85" t="n">
        <x:f>S13/J13</x:f>
        <x:v>0.5</x:v>
      </x:c>
    </x:row>
    <x:row r="14">
      <x:c r="B14" s="27" t="str">
        <x:v>P08</x:v>
      </x:c>
      <x:c r="C14" s="27" t="str">
        <x:v>Apr</x:v>
      </x:c>
      <x:c r="D14" s="27" t="str">
        <x:v>Peter Late</x:v>
      </x:c>
      <x:c r="E14" s="27" t="str">
        <x:v>Promise First Ask Later</x:v>
      </x:c>
      <x:c r="F14" s="27" t="str">
        <x:v>Large corporate</x:v>
      </x:c>
      <x:c r="G14" s="27" t="n">
        <x:v>1</x:v>
      </x:c>
      <x:c r="H14" s="27" t="n">
        <x:v>90</x:v>
      </x:c>
      <x:c r="I14" s="27" t="n">
        <x:v>0</x:v>
      </x:c>
      <x:c r="J14" s="40" t="n">
        <x:f>IF(F14="Open",H14*I14,IF(F14="Large corporate",(2500+ROUNDUP(MAX(0,H14-20)/10,0)*650)*G14,2500*G14))</x:f>
        <x:v>7050</x:v>
      </x:c>
      <x:c r="K14" s="40" t="n">
        <x:f>G14*700</x:f>
        <x:v>700</x:v>
      </x:c>
      <x:c r="L14" s="68" t="n">
        <x:f>IF(F14="Large corporate",MAX(0,ROUNDUP(H14/30,0)-1),0)</x:f>
        <x:v>2</x:v>
      </x:c>
      <x:c r="M14" s="40" t="n">
        <x:f>L14*175*G14</x:f>
        <x:v>350</x:v>
      </x:c>
      <x:c r="N14" s="40" t="n">
        <x:f>IF(F14="Open",600*G14,0)</x:f>
        <x:v>0</x:v>
      </x:c>
      <x:c r="O14" s="40" t="n">
        <x:v>900</x:v>
      </x:c>
      <x:c r="P14" s="40" t="n">
        <x:f>H14*15*G14</x:f>
        <x:v>1350</x:v>
      </x:c>
      <x:c r="Q14" s="40" t="n">
        <x:f>J14*5%</x:f>
        <x:v>352.5</x:v>
      </x:c>
      <x:c r="R14" s="40" t="n">
        <x:f>SUM(K14,M14:Q14)</x:f>
        <x:v>3652.5</x:v>
      </x:c>
      <x:c r="S14" s="40" t="n">
        <x:f>J14-R14</x:f>
        <x:v>3397.5</x:v>
      </x:c>
      <x:c r="T14" s="85" t="n">
        <x:f>S14/J14</x:f>
        <x:v>0.4819148936170213</x:v>
      </x:c>
    </x:row>
    <x:row r="15">
      <x:c r="B15" s="27" t="str">
        <x:v>P09</x:v>
      </x:c>
      <x:c r="C15" s="27" t="str">
        <x:v>May</x:v>
      </x:c>
      <x:c r="D15" s="27" t="str">
        <x:v>Anna Power</x:v>
      </x:c>
      <x:c r="E15" s="27" t="str">
        <x:v>Professional Blame Delegation</x:v>
      </x:c>
      <x:c r="F15" s="27" t="str">
        <x:v>Standard corporate</x:v>
      </x:c>
      <x:c r="G15" s="27" t="n">
        <x:v>1</x:v>
      </x:c>
      <x:c r="H15" s="27" t="n">
        <x:v>20</x:v>
      </x:c>
      <x:c r="I15" s="27" t="n">
        <x:v>0</x:v>
      </x:c>
      <x:c r="J15" s="40" t="n">
        <x:f>IF(F15="Open",H15*I15,IF(F15="Large corporate",(2500+ROUNDUP(MAX(0,H15-20)/10,0)*650)*G15,2500*G15))</x:f>
        <x:v>2500</x:v>
      </x:c>
      <x:c r="K15" s="40" t="n">
        <x:f>G15*700</x:f>
        <x:v>700</x:v>
      </x:c>
      <x:c r="L15" s="68" t="n">
        <x:f>IF(F15="Large corporate",MAX(0,ROUNDUP(H15/30,0)-1),0)</x:f>
        <x:v>0</x:v>
      </x:c>
      <x:c r="M15" s="40" t="n">
        <x:f>L15*175*G15</x:f>
        <x:v>0</x:v>
      </x:c>
      <x:c r="N15" s="40" t="n">
        <x:f>IF(F15="Open",600*G15,0)</x:f>
        <x:v>0</x:v>
      </x:c>
      <x:c r="O15" s="40" t="n">
        <x:v>0</x:v>
      </x:c>
      <x:c r="P15" s="40" t="n">
        <x:f>H15*15*G15</x:f>
        <x:v>300</x:v>
      </x:c>
      <x:c r="Q15" s="40" t="n">
        <x:f>J15*5%</x:f>
        <x:v>125</x:v>
      </x:c>
      <x:c r="R15" s="40" t="n">
        <x:f>SUM(K15,M15:Q15)</x:f>
        <x:v>1125</x:v>
      </x:c>
      <x:c r="S15" s="40" t="n">
        <x:f>J15-R15</x:f>
        <x:v>1375</x:v>
      </x:c>
      <x:c r="T15" s="85" t="n">
        <x:f>S15/J15</x:f>
        <x:v>0.55</x:v>
      </x:c>
    </x:row>
    <x:row r="16">
      <x:c r="B16" s="27" t="str">
        <x:v>P10</x:v>
      </x:c>
      <x:c r="C16" s="27" t="str">
        <x:v>May</x:v>
      </x:c>
      <x:c r="D16" s="27" t="str">
        <x:v>Linda Smile</x:v>
      </x:c>
      <x:c r="E16" s="27" t="str">
        <x:v>Executive Blame Delegation</x:v>
      </x:c>
      <x:c r="F16" s="27" t="str">
        <x:v>Open</x:v>
      </x:c>
      <x:c r="G16" s="27" t="n">
        <x:v>2</x:v>
      </x:c>
      <x:c r="H16" s="27" t="n">
        <x:v>18</x:v>
      </x:c>
      <x:c r="I16" s="27" t="n">
        <x:v>600</x:v>
      </x:c>
      <x:c r="J16" s="40" t="n">
        <x:f>IF(F16="Open",H16*I16,IF(F16="Large corporate",(2500+ROUNDUP(MAX(0,H16-20)/10,0)*650)*G16,2500*G16))</x:f>
        <x:v>10800</x:v>
      </x:c>
      <x:c r="K16" s="40" t="n">
        <x:f>G16*700</x:f>
        <x:v>1400</x:v>
      </x:c>
      <x:c r="L16" s="68" t="n">
        <x:f>IF(F16="Large corporate",MAX(0,ROUNDUP(H16/30,0)-1),0)</x:f>
        <x:v>0</x:v>
      </x:c>
      <x:c r="M16" s="40" t="n">
        <x:f>L16*175*G16</x:f>
        <x:v>0</x:v>
      </x:c>
      <x:c r="N16" s="40" t="n">
        <x:f>IF(F16="Open",600*G16,0)</x:f>
        <x:v>1200</x:v>
      </x:c>
      <x:c r="O16" s="40" t="n">
        <x:v>0</x:v>
      </x:c>
      <x:c r="P16" s="40" t="n">
        <x:f>H16*15*G16</x:f>
        <x:v>540</x:v>
      </x:c>
      <x:c r="Q16" s="40" t="n">
        <x:f>J16*5%</x:f>
        <x:v>540</x:v>
      </x:c>
      <x:c r="R16" s="40" t="n">
        <x:f>SUM(K16,M16:Q16)</x:f>
        <x:v>3680</x:v>
      </x:c>
      <x:c r="S16" s="40" t="n">
        <x:f>J16-R16</x:f>
        <x:v>7120</x:v>
      </x:c>
      <x:c r="T16" s="85" t="n">
        <x:f>S16/J16</x:f>
        <x:v>0.6592592592592592</x:v>
      </x:c>
    </x:row>
    <x:row r="17">
      <x:c r="B17" s="27" t="str">
        <x:v>P11</x:v>
      </x:c>
      <x:c r="C17" s="27" t="str">
        <x:v>Jun</x:v>
      </x:c>
      <x:c r="D17" s="27" t="str">
        <x:v>Ella Fast</x:v>
      </x:c>
      <x:c r="E17" s="27" t="str">
        <x:v>Advanced Micromanagement</x:v>
      </x:c>
      <x:c r="F17" s="27" t="str">
        <x:v>Standard corporate</x:v>
      </x:c>
      <x:c r="G17" s="27" t="n">
        <x:v>2</x:v>
      </x:c>
      <x:c r="H17" s="27" t="n">
        <x:v>20</x:v>
      </x:c>
      <x:c r="I17" s="27" t="n">
        <x:v>0</x:v>
      </x:c>
      <x:c r="J17" s="40" t="n">
        <x:f>IF(F17="Open",H17*I17,IF(F17="Large corporate",(2500+ROUNDUP(MAX(0,H17-20)/10,0)*650)*G17,2500*G17))</x:f>
        <x:v>5000</x:v>
      </x:c>
      <x:c r="K17" s="40" t="n">
        <x:f>G17*700</x:f>
        <x:v>1400</x:v>
      </x:c>
      <x:c r="L17" s="68" t="n">
        <x:f>IF(F17="Large corporate",MAX(0,ROUNDUP(H17/30,0)-1),0)</x:f>
        <x:v>0</x:v>
      </x:c>
      <x:c r="M17" s="40" t="n">
        <x:f>L17*175*G17</x:f>
        <x:v>0</x:v>
      </x:c>
      <x:c r="N17" s="40" t="n">
        <x:f>IF(F17="Open",600*G17,0)</x:f>
        <x:v>0</x:v>
      </x:c>
      <x:c r="O17" s="40" t="n">
        <x:v>400</x:v>
      </x:c>
      <x:c r="P17" s="40" t="n">
        <x:f>H17*15*G17</x:f>
        <x:v>600</x:v>
      </x:c>
      <x:c r="Q17" s="40" t="n">
        <x:f>J17*5%</x:f>
        <x:v>250</x:v>
      </x:c>
      <x:c r="R17" s="40" t="n">
        <x:f>SUM(K17,M17:Q17)</x:f>
        <x:v>2650</x:v>
      </x:c>
      <x:c r="S17" s="40" t="n">
        <x:f>J17-R17</x:f>
        <x:v>2350</x:v>
      </x:c>
      <x:c r="T17" s="85" t="n">
        <x:f>S17/J17</x:f>
        <x:v>0.47</x:v>
      </x:c>
    </x:row>
    <x:row r="18">
      <x:c r="B18" s="27" t="str">
        <x:v>P12</x:v>
      </x:c>
      <x:c r="C18" s="27" t="str">
        <x:v>Jun</x:v>
      </x:c>
      <x:c r="D18" s="27" t="str">
        <x:v>Mark Pressure</x:v>
      </x:c>
      <x:c r="E18" s="27" t="str">
        <x:v>Call Until They Buy</x:v>
      </x:c>
      <x:c r="F18" s="27" t="str">
        <x:v>Large corporate</x:v>
      </x:c>
      <x:c r="G18" s="27" t="n">
        <x:v>2</x:v>
      </x:c>
      <x:c r="H18" s="27" t="n">
        <x:v>70</x:v>
      </x:c>
      <x:c r="I18" s="27" t="n">
        <x:v>0</x:v>
      </x:c>
      <x:c r="J18" s="40" t="n">
        <x:f>IF(F18="Open",H18*I18,IF(F18="Large corporate",(2500+ROUNDUP(MAX(0,H18-20)/10,0)*650)*G18,2500*G18))</x:f>
        <x:v>11500</x:v>
      </x:c>
      <x:c r="K18" s="40" t="n">
        <x:f>G18*700</x:f>
        <x:v>1400</x:v>
      </x:c>
      <x:c r="L18" s="68" t="n">
        <x:f>IF(F18="Large corporate",MAX(0,ROUNDUP(H18/30,0)-1),0)</x:f>
        <x:v>2</x:v>
      </x:c>
      <x:c r="M18" s="40" t="n">
        <x:f>L18*175*G18</x:f>
        <x:v>700</x:v>
      </x:c>
      <x:c r="N18" s="40" t="n">
        <x:f>IF(F18="Open",600*G18,0)</x:f>
        <x:v>0</x:v>
      </x:c>
      <x:c r="O18" s="40" t="n">
        <x:v>600</x:v>
      </x:c>
      <x:c r="P18" s="40" t="n">
        <x:f>H18*15*G18</x:f>
        <x:v>2100</x:v>
      </x:c>
      <x:c r="Q18" s="40" t="n">
        <x:f>J18*5%</x:f>
        <x:v>575</x:v>
      </x:c>
      <x:c r="R18" s="40" t="n">
        <x:f>SUM(K18,M18:Q18)</x:f>
        <x:v>5375</x:v>
      </x:c>
      <x:c r="S18" s="40" t="n">
        <x:f>J18-R18</x:f>
        <x:v>6125</x:v>
      </x:c>
      <x:c r="T18" s="85" t="n">
        <x:f>S18/J18</x:f>
        <x:v>0.532608695652174</x:v>
      </x:c>
    </x:row>
    <x:row r="19">
      <x:c r="B19" s="27" t="str">
        <x:v>P13</x:v>
      </x:c>
      <x:c r="C19" s="27" t="str">
        <x:v>Jul</x:v>
      </x:c>
      <x:c r="D19" s="27" t="str">
        <x:v>Peter Late</x:v>
      </x:c>
      <x:c r="E19" s="27" t="str">
        <x:v>Meetings About Meetings</x:v>
      </x:c>
      <x:c r="F19" s="27" t="str">
        <x:v>Standard corporate</x:v>
      </x:c>
      <x:c r="G19" s="27" t="n">
        <x:v>1</x:v>
      </x:c>
      <x:c r="H19" s="27" t="n">
        <x:v>20</x:v>
      </x:c>
      <x:c r="I19" s="27" t="n">
        <x:v>0</x:v>
      </x:c>
      <x:c r="J19" s="40" t="n">
        <x:f>IF(F19="Open",H19*I19,IF(F19="Large corporate",(2500+ROUNDUP(MAX(0,H19-20)/10,0)*650)*G19,2500*G19))</x:f>
        <x:v>2500</x:v>
      </x:c>
      <x:c r="K19" s="40" t="n">
        <x:f>G19*700</x:f>
        <x:v>700</x:v>
      </x:c>
      <x:c r="L19" s="68" t="n">
        <x:f>IF(F19="Large corporate",MAX(0,ROUNDUP(H19/30,0)-1),0)</x:f>
        <x:v>0</x:v>
      </x:c>
      <x:c r="M19" s="40" t="n">
        <x:f>L19*175*G19</x:f>
        <x:v>0</x:v>
      </x:c>
      <x:c r="N19" s="40" t="n">
        <x:f>IF(F19="Open",600*G19,0)</x:f>
        <x:v>0</x:v>
      </x:c>
      <x:c r="O19" s="40" t="n">
        <x:v>0</x:v>
      </x:c>
      <x:c r="P19" s="40" t="n">
        <x:f>H19*15*G19</x:f>
        <x:v>300</x:v>
      </x:c>
      <x:c r="Q19" s="40" t="n">
        <x:f>J19*5%</x:f>
        <x:v>125</x:v>
      </x:c>
      <x:c r="R19" s="40" t="n">
        <x:f>SUM(K19,M19:Q19)</x:f>
        <x:v>1125</x:v>
      </x:c>
      <x:c r="S19" s="40" t="n">
        <x:f>J19-R19</x:f>
        <x:v>1375</x:v>
      </x:c>
      <x:c r="T19" s="85" t="n">
        <x:f>S19/J19</x:f>
        <x:v>0.55</x:v>
      </x:c>
    </x:row>
    <x:row r="20">
      <x:c r="B20" s="27" t="str">
        <x:v>P14</x:v>
      </x:c>
      <x:c r="C20" s="27" t="str">
        <x:v>Aug</x:v>
      </x:c>
      <x:c r="D20" s="27" t="str">
        <x:v>Ella Fast</x:v>
      </x:c>
      <x:c r="E20" s="27" t="str">
        <x:v>Promise First Ask Later</x:v>
      </x:c>
      <x:c r="F20" s="27" t="str">
        <x:v>Standard corporate</x:v>
      </x:c>
      <x:c r="G20" s="27" t="n">
        <x:v>2</x:v>
      </x:c>
      <x:c r="H20" s="27" t="n">
        <x:v>20</x:v>
      </x:c>
      <x:c r="I20" s="27" t="n">
        <x:v>0</x:v>
      </x:c>
      <x:c r="J20" s="40" t="n">
        <x:f>IF(F20="Open",H20*I20,IF(F20="Large corporate",(2500+ROUNDUP(MAX(0,H20-20)/10,0)*650)*G20,2500*G20))</x:f>
        <x:v>5000</x:v>
      </x:c>
      <x:c r="K20" s="40" t="n">
        <x:f>G20*700</x:f>
        <x:v>1400</x:v>
      </x:c>
      <x:c r="L20" s="68" t="n">
        <x:f>IF(F20="Large corporate",MAX(0,ROUNDUP(H20/30,0)-1),0)</x:f>
        <x:v>0</x:v>
      </x:c>
      <x:c r="M20" s="40" t="n">
        <x:f>L20*175*G20</x:f>
        <x:v>0</x:v>
      </x:c>
      <x:c r="N20" s="40" t="n">
        <x:f>IF(F20="Open",600*G20,0)</x:f>
        <x:v>0</x:v>
      </x:c>
      <x:c r="O20" s="40" t="n">
        <x:v>500</x:v>
      </x:c>
      <x:c r="P20" s="40" t="n">
        <x:f>H20*15*G20</x:f>
        <x:v>600</x:v>
      </x:c>
      <x:c r="Q20" s="40" t="n">
        <x:f>J20*5%</x:f>
        <x:v>250</x:v>
      </x:c>
      <x:c r="R20" s="40" t="n">
        <x:f>SUM(K20,M20:Q20)</x:f>
        <x:v>2750</x:v>
      </x:c>
      <x:c r="S20" s="40" t="n">
        <x:f>J20-R20</x:f>
        <x:v>2250</x:v>
      </x:c>
      <x:c r="T20" s="85" t="n">
        <x:f>S20/J20</x:f>
        <x:v>0.45</x:v>
      </x:c>
    </x:row>
    <x:row r="21">
      <x:c r="B21" s="27" t="str">
        <x:v>P15</x:v>
      </x:c>
      <x:c r="C21" s="27" t="str">
        <x:v>Aug</x:v>
      </x:c>
      <x:c r="D21" s="27" t="str">
        <x:v>Linda Smile</x:v>
      </x:c>
      <x:c r="E21" s="27" t="str">
        <x:v>How to Look Busy All Day</x:v>
      </x:c>
      <x:c r="F21" s="27" t="str">
        <x:v>Open</x:v>
      </x:c>
      <x:c r="G21" s="27" t="n">
        <x:v>1</x:v>
      </x:c>
      <x:c r="H21" s="27" t="n">
        <x:v>20</x:v>
      </x:c>
      <x:c r="I21" s="27" t="n">
        <x:v>200</x:v>
      </x:c>
      <x:c r="J21" s="40" t="n">
        <x:f>IF(F21="Open",H21*I21,IF(F21="Large corporate",(2500+ROUNDUP(MAX(0,H21-20)/10,0)*650)*G21,2500*G21))</x:f>
        <x:v>4000</x:v>
      </x:c>
      <x:c r="K21" s="40" t="n">
        <x:f>G21*700</x:f>
        <x:v>700</x:v>
      </x:c>
      <x:c r="L21" s="68" t="n">
        <x:f>IF(F21="Large corporate",MAX(0,ROUNDUP(H21/30,0)-1),0)</x:f>
        <x:v>0</x:v>
      </x:c>
      <x:c r="M21" s="40" t="n">
        <x:f>L21*175*G21</x:f>
        <x:v>0</x:v>
      </x:c>
      <x:c r="N21" s="40" t="n">
        <x:f>IF(F21="Open",600*G21,0)</x:f>
        <x:v>600</x:v>
      </x:c>
      <x:c r="O21" s="40" t="n">
        <x:v>0</x:v>
      </x:c>
      <x:c r="P21" s="40" t="n">
        <x:f>H21*15*G21</x:f>
        <x:v>300</x:v>
      </x:c>
      <x:c r="Q21" s="40" t="n">
        <x:f>J21*5%</x:f>
        <x:v>200</x:v>
      </x:c>
      <x:c r="R21" s="40" t="n">
        <x:f>SUM(K21,M21:Q21)</x:f>
        <x:v>1800</x:v>
      </x:c>
      <x:c r="S21" s="40" t="n">
        <x:f>J21-R21</x:f>
        <x:v>2200</x:v>
      </x:c>
      <x:c r="T21" s="85" t="n">
        <x:f>S21/J21</x:f>
        <x:v>0.55</x:v>
      </x:c>
    </x:row>
    <x:row r="22">
      <x:c r="B22" s="27" t="str">
        <x:v>P16</x:v>
      </x:c>
      <x:c r="C22" s="27" t="str">
        <x:v>Sep</x:v>
      </x:c>
      <x:c r="D22" s="27" t="str">
        <x:v>Anna Power</x:v>
      </x:c>
      <x:c r="E22" s="27" t="str">
        <x:v>Advanced Micromanagement</x:v>
      </x:c>
      <x:c r="F22" s="27" t="str">
        <x:v>Large corporate</x:v>
      </x:c>
      <x:c r="G22" s="27" t="n">
        <x:v>2</x:v>
      </x:c>
      <x:c r="H22" s="27" t="n">
        <x:v>100</x:v>
      </x:c>
      <x:c r="I22" s="27" t="n">
        <x:v>0</x:v>
      </x:c>
      <x:c r="J22" s="40" t="n">
        <x:f>IF(F22="Open",H22*I22,IF(F22="Large corporate",(2500+ROUNDUP(MAX(0,H22-20)/10,0)*650)*G22,2500*G22))</x:f>
        <x:v>15400</x:v>
      </x:c>
      <x:c r="K22" s="40" t="n">
        <x:f>G22*700</x:f>
        <x:v>1400</x:v>
      </x:c>
      <x:c r="L22" s="68" t="n">
        <x:f>IF(F22="Large corporate",MAX(0,ROUNDUP(H22/30,0)-1),0)</x:f>
        <x:v>3</x:v>
      </x:c>
      <x:c r="M22" s="40" t="n">
        <x:f>L22*175*G22</x:f>
        <x:v>1050</x:v>
      </x:c>
      <x:c r="N22" s="40" t="n">
        <x:f>IF(F22="Open",600*G22,0)</x:f>
        <x:v>0</x:v>
      </x:c>
      <x:c r="O22" s="40" t="n">
        <x:v>1200</x:v>
      </x:c>
      <x:c r="P22" s="40" t="n">
        <x:f>H22*15*G22</x:f>
        <x:v>3000</x:v>
      </x:c>
      <x:c r="Q22" s="40" t="n">
        <x:f>J22*5%</x:f>
        <x:v>770</x:v>
      </x:c>
      <x:c r="R22" s="40" t="n">
        <x:f>SUM(K22,M22:Q22)</x:f>
        <x:v>7420</x:v>
      </x:c>
      <x:c r="S22" s="40" t="n">
        <x:f>J22-R22</x:f>
        <x:v>7980</x:v>
      </x:c>
      <x:c r="T22" s="85" t="n">
        <x:f>S22/J22</x:f>
        <x:v>0.5181818181818182</x:v>
      </x:c>
    </x:row>
    <x:row r="23">
      <x:c r="B23" s="27" t="str">
        <x:v>P17</x:v>
      </x:c>
      <x:c r="C23" s="27" t="str">
        <x:v>Sep</x:v>
      </x:c>
      <x:c r="D23" s="27" t="str">
        <x:v>Mark Pressure</x:v>
      </x:c>
      <x:c r="E23" s="27" t="str">
        <x:v>Call Until They Buy</x:v>
      </x:c>
      <x:c r="F23" s="27" t="str">
        <x:v>Standard corporate</x:v>
      </x:c>
      <x:c r="G23" s="27" t="n">
        <x:v>2</x:v>
      </x:c>
      <x:c r="H23" s="27" t="n">
        <x:v>20</x:v>
      </x:c>
      <x:c r="I23" s="27" t="n">
        <x:v>0</x:v>
      </x:c>
      <x:c r="J23" s="40" t="n">
        <x:f>IF(F23="Open",H23*I23,IF(F23="Large corporate",(2500+ROUNDUP(MAX(0,H23-20)/10,0)*650)*G23,2500*G23))</x:f>
        <x:v>5000</x:v>
      </x:c>
      <x:c r="K23" s="40" t="n">
        <x:f>G23*700</x:f>
        <x:v>1400</x:v>
      </x:c>
      <x:c r="L23" s="68" t="n">
        <x:f>IF(F23="Large corporate",MAX(0,ROUNDUP(H23/30,0)-1),0)</x:f>
        <x:v>0</x:v>
      </x:c>
      <x:c r="M23" s="40" t="n">
        <x:f>L23*175*G23</x:f>
        <x:v>0</x:v>
      </x:c>
      <x:c r="N23" s="40" t="n">
        <x:f>IF(F23="Open",600*G23,0)</x:f>
        <x:v>0</x:v>
      </x:c>
      <x:c r="O23" s="40" t="n">
        <x:v>300</x:v>
      </x:c>
      <x:c r="P23" s="40" t="n">
        <x:f>H23*15*G23</x:f>
        <x:v>600</x:v>
      </x:c>
      <x:c r="Q23" s="40" t="n">
        <x:f>J23*5%</x:f>
        <x:v>250</x:v>
      </x:c>
      <x:c r="R23" s="40" t="n">
        <x:f>SUM(K23,M23:Q23)</x:f>
        <x:v>2550</x:v>
      </x:c>
      <x:c r="S23" s="40" t="n">
        <x:f>J23-R23</x:f>
        <x:v>2450</x:v>
      </x:c>
      <x:c r="T23" s="85" t="n">
        <x:f>S23/J23</x:f>
        <x:v>0.49</x:v>
      </x:c>
    </x:row>
    <x:row r="24">
      <x:c r="B24" s="27" t="str">
        <x:v>P18</x:v>
      </x:c>
      <x:c r="C24" s="27" t="str">
        <x:v>Sep</x:v>
      </x:c>
      <x:c r="D24" s="27" t="str">
        <x:v>Linda Smile</x:v>
      </x:c>
      <x:c r="E24" s="27" t="str">
        <x:v>Executive Blame Delegation</x:v>
      </x:c>
      <x:c r="F24" s="27" t="str">
        <x:v>Open</x:v>
      </x:c>
      <x:c r="G24" s="27" t="n">
        <x:v>2</x:v>
      </x:c>
      <x:c r="H24" s="27" t="n">
        <x:v>20</x:v>
      </x:c>
      <x:c r="I24" s="27" t="n">
        <x:v>600</x:v>
      </x:c>
      <x:c r="J24" s="40" t="n">
        <x:f>IF(F24="Open",H24*I24,IF(F24="Large corporate",(2500+ROUNDUP(MAX(0,H24-20)/10,0)*650)*G24,2500*G24))</x:f>
        <x:v>12000</x:v>
      </x:c>
      <x:c r="K24" s="40" t="n">
        <x:f>G24*700</x:f>
        <x:v>1400</x:v>
      </x:c>
      <x:c r="L24" s="68" t="n">
        <x:f>IF(F24="Large corporate",MAX(0,ROUNDUP(H24/30,0)-1),0)</x:f>
        <x:v>0</x:v>
      </x:c>
      <x:c r="M24" s="40" t="n">
        <x:f>L24*175*G24</x:f>
        <x:v>0</x:v>
      </x:c>
      <x:c r="N24" s="40" t="n">
        <x:f>IF(F24="Open",600*G24,0)</x:f>
        <x:v>1200</x:v>
      </x:c>
      <x:c r="O24" s="40" t="n">
        <x:v>0</x:v>
      </x:c>
      <x:c r="P24" s="40" t="n">
        <x:f>H24*15*G24</x:f>
        <x:v>600</x:v>
      </x:c>
      <x:c r="Q24" s="40" t="n">
        <x:f>J24*5%</x:f>
        <x:v>600</x:v>
      </x:c>
      <x:c r="R24" s="40" t="n">
        <x:f>SUM(K24,M24:Q24)</x:f>
        <x:v>3800</x:v>
      </x:c>
      <x:c r="S24" s="40" t="n">
        <x:f>J24-R24</x:f>
        <x:v>8200</x:v>
      </x:c>
      <x:c r="T24" s="85" t="n">
        <x:f>S24/J24</x:f>
        <x:v>0.6833333333333333</x:v>
      </x:c>
    </x:row>
    <x:row r="25">
      <x:c r="B25" s="27" t="str">
        <x:v>P19</x:v>
      </x:c>
      <x:c r="C25" s="27" t="str">
        <x:v>Oct</x:v>
      </x:c>
      <x:c r="D25" s="27" t="str">
        <x:v>Peter Late</x:v>
      </x:c>
      <x:c r="E25" s="27" t="str">
        <x:v>Professional Blame Delegation</x:v>
      </x:c>
      <x:c r="F25" s="27" t="str">
        <x:v>Standard corporate</x:v>
      </x:c>
      <x:c r="G25" s="27" t="n">
        <x:v>2</x:v>
      </x:c>
      <x:c r="H25" s="27" t="n">
        <x:v>20</x:v>
      </x:c>
      <x:c r="I25" s="27" t="n">
        <x:v>0</x:v>
      </x:c>
      <x:c r="J25" s="40" t="n">
        <x:f>IF(F25="Open",H25*I25,IF(F25="Large corporate",(2500+ROUNDUP(MAX(0,H25-20)/10,0)*650)*G25,2500*G25))</x:f>
        <x:v>5000</x:v>
      </x:c>
      <x:c r="K25" s="40" t="n">
        <x:f>G25*700</x:f>
        <x:v>1400</x:v>
      </x:c>
      <x:c r="L25" s="68" t="n">
        <x:f>IF(F25="Large corporate",MAX(0,ROUNDUP(H25/30,0)-1),0)</x:f>
        <x:v>0</x:v>
      </x:c>
      <x:c r="M25" s="40" t="n">
        <x:f>L25*175*G25</x:f>
        <x:v>0</x:v>
      </x:c>
      <x:c r="N25" s="40" t="n">
        <x:f>IF(F25="Open",600*G25,0)</x:f>
        <x:v>0</x:v>
      </x:c>
      <x:c r="O25" s="40" t="n">
        <x:v>0</x:v>
      </x:c>
      <x:c r="P25" s="40" t="n">
        <x:f>H25*15*G25</x:f>
        <x:v>600</x:v>
      </x:c>
      <x:c r="Q25" s="40" t="n">
        <x:f>J25*5%</x:f>
        <x:v>250</x:v>
      </x:c>
      <x:c r="R25" s="40" t="n">
        <x:f>SUM(K25,M25:Q25)</x:f>
        <x:v>2250</x:v>
      </x:c>
      <x:c r="S25" s="40" t="n">
        <x:f>J25-R25</x:f>
        <x:v>2750</x:v>
      </x:c>
      <x:c r="T25" s="85" t="n">
        <x:f>S25/J25</x:f>
        <x:v>0.55</x:v>
      </x:c>
    </x:row>
    <x:row r="26">
      <x:c r="B26" s="27" t="str">
        <x:v>P20</x:v>
      </x:c>
      <x:c r="C26" s="27" t="str">
        <x:v>Oct</x:v>
      </x:c>
      <x:c r="D26" s="27" t="str">
        <x:v>Ella Fast</x:v>
      </x:c>
      <x:c r="E26" s="27" t="str">
        <x:v>Promise First Ask Later</x:v>
      </x:c>
      <x:c r="F26" s="27" t="str">
        <x:v>Large corporate</x:v>
      </x:c>
      <x:c r="G26" s="27" t="n">
        <x:v>1</x:v>
      </x:c>
      <x:c r="H26" s="27" t="n">
        <x:v>50</x:v>
      </x:c>
      <x:c r="I26" s="27" t="n">
        <x:v>0</x:v>
      </x:c>
      <x:c r="J26" s="40" t="n">
        <x:f>IF(F26="Open",H26*I26,IF(F26="Large corporate",(2500+ROUNDUP(MAX(0,H26-20)/10,0)*650)*G26,2500*G26))</x:f>
        <x:v>4450</x:v>
      </x:c>
      <x:c r="K26" s="40" t="n">
        <x:f>G26*700</x:f>
        <x:v>700</x:v>
      </x:c>
      <x:c r="L26" s="68" t="n">
        <x:f>IF(F26="Large corporate",MAX(0,ROUNDUP(H26/30,0)-1),0)</x:f>
        <x:v>1</x:v>
      </x:c>
      <x:c r="M26" s="40" t="n">
        <x:f>L26*175*G26</x:f>
        <x:v>175</x:v>
      </x:c>
      <x:c r="N26" s="40" t="n">
        <x:f>IF(F26="Open",600*G26,0)</x:f>
        <x:v>0</x:v>
      </x:c>
      <x:c r="O26" s="40" t="n">
        <x:v>700</x:v>
      </x:c>
      <x:c r="P26" s="40" t="n">
        <x:f>H26*15*G26</x:f>
        <x:v>750</x:v>
      </x:c>
      <x:c r="Q26" s="40" t="n">
        <x:f>J26*5%</x:f>
        <x:v>222.5</x:v>
      </x:c>
      <x:c r="R26" s="40" t="n">
        <x:f>SUM(K26,M26:Q26)</x:f>
        <x:v>2547.5</x:v>
      </x:c>
      <x:c r="S26" s="40" t="n">
        <x:f>J26-R26</x:f>
        <x:v>1902.5</x:v>
      </x:c>
      <x:c r="T26" s="85" t="n">
        <x:f>S26/J26</x:f>
        <x:v>0.42752808988764046</x:v>
      </x:c>
    </x:row>
    <x:row r="27">
      <x:c r="B27" s="27" t="str">
        <x:v>P21</x:v>
      </x:c>
      <x:c r="C27" s="27" t="str">
        <x:v>Oct</x:v>
      </x:c>
      <x:c r="D27" s="27" t="str">
        <x:v>Linda Smile</x:v>
      </x:c>
      <x:c r="E27" s="27" t="str">
        <x:v>Advanced Micromanagement</x:v>
      </x:c>
      <x:c r="F27" s="27" t="str">
        <x:v>Open</x:v>
      </x:c>
      <x:c r="G27" s="27" t="n">
        <x:v>2</x:v>
      </x:c>
      <x:c r="H27" s="27" t="n">
        <x:v>20</x:v>
      </x:c>
      <x:c r="I27" s="27" t="n">
        <x:v>500</x:v>
      </x:c>
      <x:c r="J27" s="40" t="n">
        <x:f>IF(F27="Open",H27*I27,IF(F27="Large corporate",(2500+ROUNDUP(MAX(0,H27-20)/10,0)*650)*G27,2500*G27))</x:f>
        <x:v>10000</x:v>
      </x:c>
      <x:c r="K27" s="40" t="n">
        <x:f>G27*700</x:f>
        <x:v>1400</x:v>
      </x:c>
      <x:c r="L27" s="68" t="n">
        <x:f>IF(F27="Large corporate",MAX(0,ROUNDUP(H27/30,0)-1),0)</x:f>
        <x:v>0</x:v>
      </x:c>
      <x:c r="M27" s="40" t="n">
        <x:f>L27*175*G27</x:f>
        <x:v>0</x:v>
      </x:c>
      <x:c r="N27" s="40" t="n">
        <x:f>IF(F27="Open",600*G27,0)</x:f>
        <x:v>1200</x:v>
      </x:c>
      <x:c r="O27" s="40" t="n">
        <x:v>0</x:v>
      </x:c>
      <x:c r="P27" s="40" t="n">
        <x:f>H27*15*G27</x:f>
        <x:v>600</x:v>
      </x:c>
      <x:c r="Q27" s="40" t="n">
        <x:f>J27*5%</x:f>
        <x:v>500</x:v>
      </x:c>
      <x:c r="R27" s="40" t="n">
        <x:f>SUM(K27,M27:Q27)</x:f>
        <x:v>3700</x:v>
      </x:c>
      <x:c r="S27" s="40" t="n">
        <x:f>J27-R27</x:f>
        <x:v>6300</x:v>
      </x:c>
      <x:c r="T27" s="85" t="n">
        <x:f>S27/J27</x:f>
        <x:v>0.63</x:v>
      </x:c>
    </x:row>
    <x:row r="28">
      <x:c r="B28" s="27" t="str">
        <x:v>P22</x:v>
      </x:c>
      <x:c r="C28" s="27" t="str">
        <x:v>Nov</x:v>
      </x:c>
      <x:c r="D28" s="27" t="str">
        <x:v>Anna Power</x:v>
      </x:c>
      <x:c r="E28" s="27" t="str">
        <x:v>Meetings About Meetings</x:v>
      </x:c>
      <x:c r="F28" s="27" t="str">
        <x:v>Standard corporate</x:v>
      </x:c>
      <x:c r="G28" s="27" t="n">
        <x:v>2</x:v>
      </x:c>
      <x:c r="H28" s="27" t="n">
        <x:v>20</x:v>
      </x:c>
      <x:c r="I28" s="27" t="n">
        <x:v>0</x:v>
      </x:c>
      <x:c r="J28" s="40" t="n">
        <x:f>IF(F28="Open",H28*I28,IF(F28="Large corporate",(2500+ROUNDUP(MAX(0,H28-20)/10,0)*650)*G28,2500*G28))</x:f>
        <x:v>5000</x:v>
      </x:c>
      <x:c r="K28" s="40" t="n">
        <x:f>G28*700</x:f>
        <x:v>1400</x:v>
      </x:c>
      <x:c r="L28" s="68" t="n">
        <x:f>IF(F28="Large corporate",MAX(0,ROUNDUP(H28/30,0)-1),0)</x:f>
        <x:v>0</x:v>
      </x:c>
      <x:c r="M28" s="40" t="n">
        <x:f>L28*175*G28</x:f>
        <x:v>0</x:v>
      </x:c>
      <x:c r="N28" s="40" t="n">
        <x:f>IF(F28="Open",600*G28,0)</x:f>
        <x:v>0</x:v>
      </x:c>
      <x:c r="O28" s="40" t="n">
        <x:v>250</x:v>
      </x:c>
      <x:c r="P28" s="40" t="n">
        <x:f>H28*15*G28</x:f>
        <x:v>600</x:v>
      </x:c>
      <x:c r="Q28" s="40" t="n">
        <x:f>J28*5%</x:f>
        <x:v>250</x:v>
      </x:c>
      <x:c r="R28" s="40" t="n">
        <x:f>SUM(K28,M28:Q28)</x:f>
        <x:v>2500</x:v>
      </x:c>
      <x:c r="S28" s="40" t="n">
        <x:f>J28-R28</x:f>
        <x:v>2500</x:v>
      </x:c>
      <x:c r="T28" s="85" t="n">
        <x:f>S28/J28</x:f>
        <x:v>0.5</x:v>
      </x:c>
    </x:row>
    <x:row r="29">
      <x:c r="B29" s="27" t="str">
        <x:v>P23</x:v>
      </x:c>
      <x:c r="C29" s="27" t="str">
        <x:v>Nov</x:v>
      </x:c>
      <x:c r="D29" s="27" t="str">
        <x:v>Mark Pressure</x:v>
      </x:c>
      <x:c r="E29" s="27" t="str">
        <x:v>Call Until They Buy</x:v>
      </x:c>
      <x:c r="F29" s="27" t="str">
        <x:v>Large corporate</x:v>
      </x:c>
      <x:c r="G29" s="27" t="n">
        <x:v>2</x:v>
      </x:c>
      <x:c r="H29" s="27" t="n">
        <x:v>80</x:v>
      </x:c>
      <x:c r="I29" s="27" t="n">
        <x:v>0</x:v>
      </x:c>
      <x:c r="J29" s="40" t="n">
        <x:f>IF(F29="Open",H29*I29,IF(F29="Large corporate",(2500+ROUNDUP(MAX(0,H29-20)/10,0)*650)*G29,2500*G29))</x:f>
        <x:v>12800</x:v>
      </x:c>
      <x:c r="K29" s="40" t="n">
        <x:f>G29*700</x:f>
        <x:v>1400</x:v>
      </x:c>
      <x:c r="L29" s="68" t="n">
        <x:f>IF(F29="Large corporate",MAX(0,ROUNDUP(H29/30,0)-1),0)</x:f>
        <x:v>2</x:v>
      </x:c>
      <x:c r="M29" s="40" t="n">
        <x:f>L29*175*G29</x:f>
        <x:v>700</x:v>
      </x:c>
      <x:c r="N29" s="40" t="n">
        <x:f>IF(F29="Open",600*G29,0)</x:f>
        <x:v>0</x:v>
      </x:c>
      <x:c r="O29" s="40" t="n">
        <x:v>800</x:v>
      </x:c>
      <x:c r="P29" s="40" t="n">
        <x:f>H29*15*G29</x:f>
        <x:v>2400</x:v>
      </x:c>
      <x:c r="Q29" s="40" t="n">
        <x:f>J29*5%</x:f>
        <x:v>640</x:v>
      </x:c>
      <x:c r="R29" s="40" t="n">
        <x:f>SUM(K29,M29:Q29)</x:f>
        <x:v>5940</x:v>
      </x:c>
      <x:c r="S29" s="40" t="n">
        <x:f>J29-R29</x:f>
        <x:v>6860</x:v>
      </x:c>
      <x:c r="T29" s="85" t="n">
        <x:f>S29/J29</x:f>
        <x:v>0.5359375</x:v>
      </x:c>
    </x:row>
    <x:row r="30">
      <x:c r="B30" s="27" t="str">
        <x:v>P24</x:v>
      </x:c>
      <x:c r="C30" s="27" t="str">
        <x:v>Nov</x:v>
      </x:c>
      <x:c r="D30" s="27" t="str">
        <x:v>Linda Smile</x:v>
      </x:c>
      <x:c r="E30" s="27" t="str">
        <x:v>How to Look Busy All Day</x:v>
      </x:c>
      <x:c r="F30" s="27" t="str">
        <x:v>Open</x:v>
      </x:c>
      <x:c r="G30" s="27" t="n">
        <x:v>1</x:v>
      </x:c>
      <x:c r="H30" s="27" t="n">
        <x:v>20</x:v>
      </x:c>
      <x:c r="I30" s="27" t="n">
        <x:v>200</x:v>
      </x:c>
      <x:c r="J30" s="40" t="n">
        <x:f>IF(F30="Open",H30*I30,IF(F30="Large corporate",(2500+ROUNDUP(MAX(0,H30-20)/10,0)*650)*G30,2500*G30))</x:f>
        <x:v>4000</x:v>
      </x:c>
      <x:c r="K30" s="40" t="n">
        <x:f>G30*700</x:f>
        <x:v>700</x:v>
      </x:c>
      <x:c r="L30" s="68" t="n">
        <x:f>IF(F30="Large corporate",MAX(0,ROUNDUP(H30/30,0)-1),0)</x:f>
        <x:v>0</x:v>
      </x:c>
      <x:c r="M30" s="40" t="n">
        <x:f>L30*175*G30</x:f>
        <x:v>0</x:v>
      </x:c>
      <x:c r="N30" s="40" t="n">
        <x:f>IF(F30="Open",600*G30,0)</x:f>
        <x:v>600</x:v>
      </x:c>
      <x:c r="O30" s="40" t="n">
        <x:v>0</x:v>
      </x:c>
      <x:c r="P30" s="40" t="n">
        <x:f>H30*15*G30</x:f>
        <x:v>300</x:v>
      </x:c>
      <x:c r="Q30" s="40" t="n">
        <x:f>J30*5%</x:f>
        <x:v>200</x:v>
      </x:c>
      <x:c r="R30" s="40" t="n">
        <x:f>SUM(K30,M30:Q30)</x:f>
        <x:v>1800</x:v>
      </x:c>
      <x:c r="S30" s="40" t="n">
        <x:f>J30-R30</x:f>
        <x:v>2200</x:v>
      </x:c>
      <x:c r="T30" s="85" t="n">
        <x:f>S30/J30</x:f>
        <x:v>0.55</x:v>
      </x:c>
    </x:row>
    <x:row r="31">
      <x:c r="B31" s="27" t="str">
        <x:v>P25</x:v>
      </x:c>
      <x:c r="C31" s="27" t="str">
        <x:v>Dec</x:v>
      </x:c>
      <x:c r="D31" s="27" t="str">
        <x:v>Peter Late</x:v>
      </x:c>
      <x:c r="E31" s="27" t="str">
        <x:v>Professional Blame Delegation</x:v>
      </x:c>
      <x:c r="F31" s="27" t="str">
        <x:v>Standard corporate</x:v>
      </x:c>
      <x:c r="G31" s="27" t="n">
        <x:v>1</x:v>
      </x:c>
      <x:c r="H31" s="27" t="n">
        <x:v>20</x:v>
      </x:c>
      <x:c r="I31" s="27" t="n">
        <x:v>0</x:v>
      </x:c>
      <x:c r="J31" s="40" t="n">
        <x:f>IF(F31="Open",H31*I31,IF(F31="Large corporate",(2500+ROUNDUP(MAX(0,H31-20)/10,0)*650)*G31,2500*G31))</x:f>
        <x:v>2500</x:v>
      </x:c>
      <x:c r="K31" s="40" t="n">
        <x:f>G31*700</x:f>
        <x:v>700</x:v>
      </x:c>
      <x:c r="L31" s="68" t="n">
        <x:f>IF(F31="Large corporate",MAX(0,ROUNDUP(H31/30,0)-1),0)</x:f>
        <x:v>0</x:v>
      </x:c>
      <x:c r="M31" s="40" t="n">
        <x:f>L31*175*G31</x:f>
        <x:v>0</x:v>
      </x:c>
      <x:c r="N31" s="40" t="n">
        <x:f>IF(F31="Open",600*G31,0)</x:f>
        <x:v>0</x:v>
      </x:c>
      <x:c r="O31" s="40" t="n">
        <x:v>0</x:v>
      </x:c>
      <x:c r="P31" s="40" t="n">
        <x:f>H31*15*G31</x:f>
        <x:v>300</x:v>
      </x:c>
      <x:c r="Q31" s="40" t="n">
        <x:f>J31*5%</x:f>
        <x:v>125</x:v>
      </x:c>
      <x:c r="R31" s="40" t="n">
        <x:f>SUM(K31,M31:Q31)</x:f>
        <x:v>1125</x:v>
      </x:c>
      <x:c r="S31" s="40" t="n">
        <x:f>J31-R31</x:f>
        <x:v>1375</x:v>
      </x:c>
      <x:c r="T31" s="85" t="n">
        <x:f>S31/J31</x:f>
        <x:v>0.55</x:v>
      </x:c>
    </x:row>
    <x:row r="32">
      <x:c r="B32" s="27" t="str">
        <x:v>P26</x:v>
      </x:c>
      <x:c r="C32" s="27" t="str">
        <x:v>Dec</x:v>
      </x:c>
      <x:c r="D32" s="27" t="str">
        <x:v>Ella Fast</x:v>
      </x:c>
      <x:c r="E32" s="27" t="str">
        <x:v>Advanced Micromanagement</x:v>
      </x:c>
      <x:c r="F32" s="27" t="str">
        <x:v>Standard corporate</x:v>
      </x:c>
      <x:c r="G32" s="27" t="n">
        <x:v>2</x:v>
      </x:c>
      <x:c r="H32" s="27" t="n">
        <x:v>20</x:v>
      </x:c>
      <x:c r="I32" s="27" t="n">
        <x:v>0</x:v>
      </x:c>
      <x:c r="J32" s="40" t="n">
        <x:f>IF(F32="Open",H32*I32,IF(F32="Large corporate",(2500+ROUNDUP(MAX(0,H32-20)/10,0)*650)*G32,2500*G32))</x:f>
        <x:v>5000</x:v>
      </x:c>
      <x:c r="K32" s="40" t="n">
        <x:f>G32*700</x:f>
        <x:v>1400</x:v>
      </x:c>
      <x:c r="L32" s="68" t="n">
        <x:f>IF(F32="Large corporate",MAX(0,ROUNDUP(H32/30,0)-1),0)</x:f>
        <x:v>0</x:v>
      </x:c>
      <x:c r="M32" s="40" t="n">
        <x:f>L32*175*G32</x:f>
        <x:v>0</x:v>
      </x:c>
      <x:c r="N32" s="40" t="n">
        <x:f>IF(F32="Open",600*G32,0)</x:f>
        <x:v>0</x:v>
      </x:c>
      <x:c r="O32" s="40" t="n">
        <x:v>450</x:v>
      </x:c>
      <x:c r="P32" s="40" t="n">
        <x:f>H32*15*G32</x:f>
        <x:v>600</x:v>
      </x:c>
      <x:c r="Q32" s="40" t="n">
        <x:f>J32*5%</x:f>
        <x:v>250</x:v>
      </x:c>
      <x:c r="R32" s="40" t="n">
        <x:f>SUM(K32,M32:Q32)</x:f>
        <x:v>2700</x:v>
      </x:c>
      <x:c r="S32" s="40" t="n">
        <x:f>J32-R32</x:f>
        <x:v>2300</x:v>
      </x:c>
      <x:c r="T32" s="85" t="n">
        <x:f>S32/J32</x:f>
        <x:v>0.46</x:v>
      </x:c>
    </x:row>
    <x:row r="33">
      <x:c r="B33" s="27"/>
      <x:c r="C33" s="27"/>
      <x:c r="D33" s="27"/>
      <x:c r="E33" s="27"/>
      <x:c r="F33" s="27"/>
      <x:c r="G33" s="27"/>
      <x:c r="H33" s="27"/>
      <x:c r="I33" s="27"/>
      <x:c r="J33" s="40"/>
      <x:c r="K33" s="40"/>
      <x:c r="L33" s="68"/>
      <x:c r="M33" s="40"/>
      <x:c r="N33" s="40"/>
      <x:c r="O33" s="40"/>
      <x:c r="P33" s="40"/>
      <x:c r="Q33" s="40"/>
      <x:c r="R33" s="40"/>
      <x:c r="S33" s="40"/>
      <x:c r="T33" s="85"/>
    </x:row>
    <x:row r="34">
      <x:c r="B34" s="78" t="str">
        <x:v>TOTAL</x:v>
      </x:c>
      <x:c r="C34" s="78" t="str"/>
      <x:c r="D34" s="78" t="str"/>
      <x:c r="E34" s="78" t="str"/>
      <x:c r="F34" s="78" t="str"/>
      <x:c r="G34" s="78" t="str"/>
      <x:c r="H34" s="78" t="str"/>
      <x:c r="I34" s="78" t="str"/>
      <x:c r="J34" s="79" t="n">
        <x:f>SUM(J7:J32)</x:f>
        <x:v>170800</x:v>
      </x:c>
      <x:c r="K34" s="79" t="n">
        <x:f>SUM(K7:K32)</x:f>
        <x:v>30100</x:v>
      </x:c>
      <x:c r="L34" s="86" t="n">
        <x:f>SUM(L7:L32)</x:f>
        <x:v>11</x:v>
      </x:c>
      <x:c r="M34" s="79" t="n">
        <x:f>SUM(M7:M32)</x:f>
        <x:v>3325</x:v>
      </x:c>
      <x:c r="N34" s="79" t="n">
        <x:f>SUM(N7:N32)</x:f>
        <x:v>6600</x:v>
      </x:c>
      <x:c r="O34" s="79" t="n">
        <x:f>SUM(O7:O32)</x:f>
        <x:v>7450</x:v>
      </x:c>
      <x:c r="P34" s="79" t="n">
        <x:f>SUM(P7:P32)</x:f>
        <x:v>21180</x:v>
      </x:c>
      <x:c r="Q34" s="79" t="n">
        <x:f>SUM(Q7:Q32)</x:f>
        <x:v>8540</x:v>
      </x:c>
      <x:c r="R34" s="79" t="n">
        <x:f>SUM(R7:R32)</x:f>
        <x:v>77195</x:v>
      </x:c>
      <x:c r="S34" s="79" t="n">
        <x:f>SUM(S7:S32)</x:f>
        <x:v>93605</x:v>
      </x:c>
      <x:c r="T34" s="80" t="n">
        <x:f>S34/J34</x:f>
        <x:v>0.5480386416861827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" hidden="0" customWidth="1"/>
    <x:col min="2" max="2" width="24" hidden="0" customWidth="1"/>
    <x:col min="3" max="3" width="2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4" hidden="0" customWidth="1"/>
  </x:cols>
  <x:sheetData>
    <x:row r="2">
      <x:c r="B2" s="24" t="str">
        <x:v>Draft Operating Expenses</x:v>
      </x:c>
      <x:c r="C2" s="25"/>
      <x:c r="D2" s="25"/>
      <x:c r="E2" s="25"/>
      <x:c r="F2" s="25"/>
      <x:c r="G2" s="25"/>
      <x:c r="H2" s="25"/>
      <x:c r="I2" s="25"/>
      <x:c r="J2" s="25"/>
      <x:c r="K2" s="25"/>
      <x:c r="L2" s="25"/>
      <x:c r="M2" s="25"/>
      <x:c r="N2" s="25"/>
      <x:c r="O2" s="25"/>
      <x:c r="P2" s="25"/>
    </x:row>
    <x:row r="3">
      <x:c r="B3" s="26" t="str">
        <x:v>2026 monthly operating-expense budget supplied by finance. EUR excluding VAT.</x:v>
      </x:c>
      <x:c r="C3" s="26"/>
      <x:c r="D3" s="26"/>
      <x:c r="E3" s="26"/>
      <x:c r="F3" s="26"/>
      <x:c r="G3" s="26"/>
      <x:c r="H3" s="26"/>
      <x:c r="I3" s="26"/>
      <x:c r="J3" s="26"/>
      <x:c r="K3" s="26"/>
      <x:c r="L3" s="26"/>
      <x:c r="M3" s="26"/>
      <x:c r="N3" s="26"/>
      <x:c r="O3" s="26"/>
      <x:c r="P3" s="26"/>
    </x:row>
    <x:row r="4">
      <x:c r="B4" s="27"/>
      <x:c r="C4" s="27"/>
      <x:c r="D4" s="27"/>
      <x:c r="E4" s="27"/>
      <x:c r="F4" s="27"/>
      <x:c r="G4" s="27"/>
      <x:c r="H4" s="27"/>
      <x:c r="I4" s="27"/>
      <x:c r="J4" s="27"/>
      <x:c r="K4" s="27"/>
      <x:c r="L4" s="27"/>
      <x:c r="M4" s="27"/>
      <x:c r="N4" s="27"/>
      <x:c r="O4" s="27"/>
      <x:c r="P4" s="27"/>
    </x:row>
    <x:row r="5">
      <x:c r="B5" s="27"/>
      <x:c r="C5" s="27"/>
      <x:c r="D5" s="27"/>
      <x:c r="E5" s="27"/>
      <x:c r="F5" s="27"/>
      <x:c r="G5" s="27"/>
      <x:c r="H5" s="27"/>
      <x:c r="I5" s="27"/>
      <x:c r="J5" s="27"/>
      <x:c r="K5" s="27"/>
      <x:c r="L5" s="27"/>
      <x:c r="M5" s="27"/>
      <x:c r="N5" s="27"/>
      <x:c r="O5" s="27"/>
      <x:c r="P5" s="27"/>
    </x:row>
    <x:row r="6">
      <x:c r="B6" s="8" t="str">
        <x:v>Expense</x:v>
      </x:c>
      <x:c r="C6" s="8" t="str">
        <x:v>Department</x:v>
      </x:c>
      <x:c r="D6" s="8" t="str">
        <x:v>Jan</x:v>
      </x:c>
      <x:c r="E6" s="8" t="str">
        <x:v>Feb</x:v>
      </x:c>
      <x:c r="F6" s="8" t="str">
        <x:v>Mar</x:v>
      </x:c>
      <x:c r="G6" s="8" t="str">
        <x:v>Apr</x:v>
      </x:c>
      <x:c r="H6" s="8" t="str">
        <x:v>May</x:v>
      </x:c>
      <x:c r="I6" s="8" t="str">
        <x:v>Jun</x:v>
      </x:c>
      <x:c r="J6" s="8" t="str">
        <x:v>Jul</x:v>
      </x:c>
      <x:c r="K6" s="8" t="str">
        <x:v>Aug</x:v>
      </x:c>
      <x:c r="L6" s="8" t="str">
        <x:v>Sep</x:v>
      </x:c>
      <x:c r="M6" s="8" t="str">
        <x:v>Oct</x:v>
      </x:c>
      <x:c r="N6" s="8" t="str">
        <x:v>Nov</x:v>
      </x:c>
      <x:c r="O6" s="8" t="str">
        <x:v>Dec</x:v>
      </x:c>
      <x:c r="P6" s="8" t="str">
        <x:v>FY Total</x:v>
      </x:c>
    </x:row>
    <x:row r="7">
      <x:c r="B7" s="27" t="str">
        <x:v>Sales salaries</x:v>
      </x:c>
      <x:c r="C7" s="27" t="str">
        <x:v>Sales</x:v>
      </x:c>
      <x:c r="D7" s="40" t="n">
        <x:v>7200</x:v>
      </x:c>
      <x:c r="E7" s="40" t="n">
        <x:v>7200</x:v>
      </x:c>
      <x:c r="F7" s="40" t="n">
        <x:v>7200</x:v>
      </x:c>
      <x:c r="G7" s="40" t="n">
        <x:v>7200</x:v>
      </x:c>
      <x:c r="H7" s="40" t="n">
        <x:v>7200</x:v>
      </x:c>
      <x:c r="I7" s="40" t="n">
        <x:v>7200</x:v>
      </x:c>
      <x:c r="J7" s="40" t="n">
        <x:v>7200</x:v>
      </x:c>
      <x:c r="K7" s="40" t="n">
        <x:v>7200</x:v>
      </x:c>
      <x:c r="L7" s="40" t="n">
        <x:v>7200</x:v>
      </x:c>
      <x:c r="M7" s="40" t="n">
        <x:v>7200</x:v>
      </x:c>
      <x:c r="N7" s="40" t="n">
        <x:v>7200</x:v>
      </x:c>
      <x:c r="O7" s="40" t="n">
        <x:v>7200</x:v>
      </x:c>
      <x:c r="P7" s="40" t="n">
        <x:f>SUM(D7:O7)</x:f>
        <x:v>86400</x:v>
      </x:c>
    </x:row>
    <x:row r="8">
      <x:c r="B8" s="27" t="str">
        <x:v>Delivery team salaries</x:v>
      </x:c>
      <x:c r="C8" s="27" t="str">
        <x:v>Operations</x:v>
      </x:c>
      <x:c r="D8" s="40" t="n">
        <x:v>2500</x:v>
      </x:c>
      <x:c r="E8" s="40" t="n">
        <x:v>2500</x:v>
      </x:c>
      <x:c r="F8" s="40" t="n">
        <x:v>2500</x:v>
      </x:c>
      <x:c r="G8" s="40" t="n">
        <x:v>2500</x:v>
      </x:c>
      <x:c r="H8" s="40" t="n">
        <x:v>2500</x:v>
      </x:c>
      <x:c r="I8" s="40" t="n">
        <x:v>2500</x:v>
      </x:c>
      <x:c r="J8" s="40" t="n">
        <x:v>2500</x:v>
      </x:c>
      <x:c r="K8" s="40" t="n">
        <x:v>2500</x:v>
      </x:c>
      <x:c r="L8" s="40" t="n">
        <x:v>2500</x:v>
      </x:c>
      <x:c r="M8" s="40" t="n">
        <x:v>2500</x:v>
      </x:c>
      <x:c r="N8" s="40" t="n">
        <x:v>2500</x:v>
      </x:c>
      <x:c r="O8" s="40" t="n">
        <x:v>2500</x:v>
      </x:c>
      <x:c r="P8" s="40" t="n">
        <x:f>SUM(D8:O8)</x:f>
        <x:v>30000</x:v>
      </x:c>
    </x:row>
    <x:row r="9">
      <x:c r="B9" s="27" t="str">
        <x:v>Administration salaries</x:v>
      </x:c>
      <x:c r="C9" s="27" t="str">
        <x:v>Administration</x:v>
      </x:c>
      <x:c r="D9" s="40" t="n">
        <x:v>2000</x:v>
      </x:c>
      <x:c r="E9" s="40" t="n">
        <x:v>2000</x:v>
      </x:c>
      <x:c r="F9" s="40" t="n">
        <x:v>2000</x:v>
      </x:c>
      <x:c r="G9" s="40" t="n">
        <x:v>2000</x:v>
      </x:c>
      <x:c r="H9" s="40" t="n">
        <x:v>2000</x:v>
      </x:c>
      <x:c r="I9" s="40" t="n">
        <x:v>2000</x:v>
      </x:c>
      <x:c r="J9" s="40" t="n">
        <x:v>2000</x:v>
      </x:c>
      <x:c r="K9" s="40" t="n">
        <x:v>2000</x:v>
      </x:c>
      <x:c r="L9" s="40" t="n">
        <x:v>2000</x:v>
      </x:c>
      <x:c r="M9" s="40" t="n">
        <x:v>2000</x:v>
      </x:c>
      <x:c r="N9" s="40" t="n">
        <x:v>2000</x:v>
      </x:c>
      <x:c r="O9" s="40" t="n">
        <x:v>2000</x:v>
      </x:c>
      <x:c r="P9" s="40" t="n">
        <x:f>SUM(D9:O9)</x:f>
        <x:v>24000</x:v>
      </x:c>
    </x:row>
    <x:row r="10">
      <x:c r="B10" s="27" t="str">
        <x:v>Employer payroll costs</x:v>
      </x:c>
      <x:c r="C10" s="27" t="str">
        <x:v>25% of fixed salaries (case assumption)</x:v>
      </x:c>
      <x:c r="D10" s="40" t="n">
        <x:f>SUM(D7:D9)*25%</x:f>
        <x:v>2925</x:v>
      </x:c>
      <x:c r="E10" s="40" t="n">
        <x:f>SUM(E7:E9)*25%</x:f>
        <x:v>2925</x:v>
      </x:c>
      <x:c r="F10" s="40" t="n">
        <x:f>SUM(F7:F9)*25%</x:f>
        <x:v>2925</x:v>
      </x:c>
      <x:c r="G10" s="40" t="n">
        <x:f>SUM(G7:G9)*25%</x:f>
        <x:v>2925</x:v>
      </x:c>
      <x:c r="H10" s="40" t="n">
        <x:f>SUM(H7:H9)*25%</x:f>
        <x:v>2925</x:v>
      </x:c>
      <x:c r="I10" s="40" t="n">
        <x:f>SUM(I7:I9)*25%</x:f>
        <x:v>2925</x:v>
      </x:c>
      <x:c r="J10" s="40" t="n">
        <x:f>SUM(J7:J9)*25%</x:f>
        <x:v>2925</x:v>
      </x:c>
      <x:c r="K10" s="40" t="n">
        <x:f>SUM(K7:K9)*25%</x:f>
        <x:v>2925</x:v>
      </x:c>
      <x:c r="L10" s="40" t="n">
        <x:f>SUM(L7:L9)*25%</x:f>
        <x:v>2925</x:v>
      </x:c>
      <x:c r="M10" s="40" t="n">
        <x:f>SUM(M7:M9)*25%</x:f>
        <x:v>2925</x:v>
      </x:c>
      <x:c r="N10" s="40" t="n">
        <x:f>SUM(N7:N9)*25%</x:f>
        <x:v>2925</x:v>
      </x:c>
      <x:c r="O10" s="40" t="n">
        <x:f>SUM(O7:O9)*25%</x:f>
        <x:v>2925</x:v>
      </x:c>
      <x:c r="P10" s="40" t="n">
        <x:f>SUM(D10:O10)</x:f>
        <x:v>35100</x:v>
      </x:c>
    </x:row>
    <x:row r="11">
      <x:c r="B11" s="27" t="str">
        <x:v>Marketing</x:v>
      </x:c>
      <x:c r="C11" s="27" t="str">
        <x:v>Marketing</x:v>
      </x:c>
      <x:c r="D11" s="40" t="n">
        <x:v>5500</x:v>
      </x:c>
      <x:c r="E11" s="40" t="n">
        <x:v>5000</x:v>
      </x:c>
      <x:c r="F11" s="40" t="n">
        <x:v>5000</x:v>
      </x:c>
      <x:c r="G11" s="40" t="n">
        <x:v>4500</x:v>
      </x:c>
      <x:c r="H11" s="40" t="n">
        <x:v>4000</x:v>
      </x:c>
      <x:c r="I11" s="40" t="n">
        <x:v>3500</x:v>
      </x:c>
      <x:c r="J11" s="40" t="n">
        <x:v>2000</x:v>
      </x:c>
      <x:c r="K11" s="40" t="n">
        <x:v>3000</x:v>
      </x:c>
      <x:c r="L11" s="40" t="n">
        <x:v>5500</x:v>
      </x:c>
      <x:c r="M11" s="40" t="n">
        <x:v>6000</x:v>
      </x:c>
      <x:c r="N11" s="40" t="n">
        <x:v>5000</x:v>
      </x:c>
      <x:c r="O11" s="40" t="n">
        <x:v>3500</x:v>
      </x:c>
      <x:c r="P11" s="40" t="n">
        <x:f>SUM(D11:O11)</x:f>
        <x:v>52500</x:v>
      </x:c>
    </x:row>
    <x:row r="12">
      <x:c r="B12" s="27" t="str">
        <x:v>Office rent and utilities</x:v>
      </x:c>
      <x:c r="C12" s="27" t="str">
        <x:v>Administration</x:v>
      </x:c>
      <x:c r="D12" s="40" t="n">
        <x:v>1800</x:v>
      </x:c>
      <x:c r="E12" s="40" t="n">
        <x:v>1800</x:v>
      </x:c>
      <x:c r="F12" s="40" t="n">
        <x:v>1800</x:v>
      </x:c>
      <x:c r="G12" s="40" t="n">
        <x:v>1800</x:v>
      </x:c>
      <x:c r="H12" s="40" t="n">
        <x:v>1800</x:v>
      </x:c>
      <x:c r="I12" s="40" t="n">
        <x:v>1800</x:v>
      </x:c>
      <x:c r="J12" s="40" t="n">
        <x:v>1800</x:v>
      </x:c>
      <x:c r="K12" s="40" t="n">
        <x:v>1800</x:v>
      </x:c>
      <x:c r="L12" s="40" t="n">
        <x:v>1800</x:v>
      </x:c>
      <x:c r="M12" s="40" t="n">
        <x:v>1800</x:v>
      </x:c>
      <x:c r="N12" s="40" t="n">
        <x:v>1800</x:v>
      </x:c>
      <x:c r="O12" s="40" t="n">
        <x:v>1800</x:v>
      </x:c>
      <x:c r="P12" s="40" t="n">
        <x:f>SUM(D12:O12)</x:f>
        <x:v>21600</x:v>
      </x:c>
    </x:row>
    <x:row r="13">
      <x:c r="B13" s="27" t="str">
        <x:v>Software</x:v>
      </x:c>
      <x:c r="C13" s="27" t="str">
        <x:v>Administration</x:v>
      </x:c>
      <x:c r="D13" s="40" t="n">
        <x:v>450</x:v>
      </x:c>
      <x:c r="E13" s="40" t="n">
        <x:v>450</x:v>
      </x:c>
      <x:c r="F13" s="40" t="n">
        <x:v>450</x:v>
      </x:c>
      <x:c r="G13" s="40" t="n">
        <x:v>450</x:v>
      </x:c>
      <x:c r="H13" s="40" t="n">
        <x:v>450</x:v>
      </x:c>
      <x:c r="I13" s="40" t="n">
        <x:v>450</x:v>
      </x:c>
      <x:c r="J13" s="40" t="n">
        <x:v>450</x:v>
      </x:c>
      <x:c r="K13" s="40" t="n">
        <x:v>450</x:v>
      </x:c>
      <x:c r="L13" s="40" t="n">
        <x:v>450</x:v>
      </x:c>
      <x:c r="M13" s="40" t="n">
        <x:v>450</x:v>
      </x:c>
      <x:c r="N13" s="40" t="n">
        <x:v>450</x:v>
      </x:c>
      <x:c r="O13" s="40" t="n">
        <x:v>450</x:v>
      </x:c>
      <x:c r="P13" s="40" t="n">
        <x:f>SUM(D13:O13)</x:f>
        <x:v>5400</x:v>
      </x:c>
    </x:row>
    <x:row r="14">
      <x:c r="B14" s="27" t="str">
        <x:v>Accounting and legal</x:v>
      </x:c>
      <x:c r="C14" s="27" t="str">
        <x:v>Administration</x:v>
      </x:c>
      <x:c r="D14" s="40" t="n">
        <x:v>600</x:v>
      </x:c>
      <x:c r="E14" s="40" t="n">
        <x:v>600</x:v>
      </x:c>
      <x:c r="F14" s="40" t="n">
        <x:v>600</x:v>
      </x:c>
      <x:c r="G14" s="40" t="n">
        <x:v>600</x:v>
      </x:c>
      <x:c r="H14" s="40" t="n">
        <x:v>600</x:v>
      </x:c>
      <x:c r="I14" s="40" t="n">
        <x:v>600</x:v>
      </x:c>
      <x:c r="J14" s="40" t="n">
        <x:v>600</x:v>
      </x:c>
      <x:c r="K14" s="40" t="n">
        <x:v>600</x:v>
      </x:c>
      <x:c r="L14" s="40" t="n">
        <x:v>600</x:v>
      </x:c>
      <x:c r="M14" s="40" t="n">
        <x:v>600</x:v>
      </x:c>
      <x:c r="N14" s="40" t="n">
        <x:v>600</x:v>
      </x:c>
      <x:c r="O14" s="40" t="n">
        <x:v>600</x:v>
      </x:c>
      <x:c r="P14" s="40" t="n">
        <x:f>SUM(D14:O14)</x:f>
        <x:v>7200</x:v>
      </x:c>
    </x:row>
    <x:row r="15">
      <x:c r="B15" s="27" t="str">
        <x:v>Insurance</x:v>
      </x:c>
      <x:c r="C15" s="27" t="str">
        <x:v>Administration</x:v>
      </x:c>
      <x:c r="D15" s="40" t="n">
        <x:v>0</x:v>
      </x:c>
      <x:c r="E15" s="40" t="n">
        <x:v>0</x:v>
      </x:c>
      <x:c r="F15" s="40" t="n">
        <x:v>0</x:v>
      </x:c>
      <x:c r="G15" s="40" t="n">
        <x:v>1800</x:v>
      </x:c>
      <x:c r="H15" s="40" t="n">
        <x:v>0</x:v>
      </x:c>
      <x:c r="I15" s="40" t="n">
        <x:v>0</x:v>
      </x:c>
      <x:c r="J15" s="40" t="n">
        <x:v>0</x:v>
      </x:c>
      <x:c r="K15" s="40" t="n">
        <x:v>0</x:v>
      </x:c>
      <x:c r="L15" s="40" t="n">
        <x:v>0</x:v>
      </x:c>
      <x:c r="M15" s="40" t="n">
        <x:v>0</x:v>
      </x:c>
      <x:c r="N15" s="40" t="n">
        <x:v>0</x:v>
      </x:c>
      <x:c r="O15" s="40" t="n">
        <x:v>0</x:v>
      </x:c>
      <x:c r="P15" s="40" t="n">
        <x:f>SUM(D15:O15)</x:f>
        <x:v>1800</x:v>
      </x:c>
    </x:row>
    <x:row r="16">
      <x:c r="B16" s="27" t="str">
        <x:v>Administration travel</x:v>
      </x:c>
      <x:c r="C16" s="27" t="str">
        <x:v>Administration</x:v>
      </x:c>
      <x:c r="D16" s="40" t="n">
        <x:v>350</x:v>
      </x:c>
      <x:c r="E16" s="40" t="n">
        <x:v>350</x:v>
      </x:c>
      <x:c r="F16" s="40" t="n">
        <x:v>350</x:v>
      </x:c>
      <x:c r="G16" s="40" t="n">
        <x:v>350</x:v>
      </x:c>
      <x:c r="H16" s="40" t="n">
        <x:v>350</x:v>
      </x:c>
      <x:c r="I16" s="40" t="n">
        <x:v>350</x:v>
      </x:c>
      <x:c r="J16" s="40" t="n">
        <x:v>350</x:v>
      </x:c>
      <x:c r="K16" s="40" t="n">
        <x:v>350</x:v>
      </x:c>
      <x:c r="L16" s="40" t="n">
        <x:v>350</x:v>
      </x:c>
      <x:c r="M16" s="40" t="n">
        <x:v>350</x:v>
      </x:c>
      <x:c r="N16" s="40" t="n">
        <x:v>350</x:v>
      </x:c>
      <x:c r="O16" s="40" t="n">
        <x:v>350</x:v>
      </x:c>
      <x:c r="P16" s="40" t="n">
        <x:f>SUM(D16:O16)</x:f>
        <x:v>4200</x:v>
      </x:c>
    </x:row>
    <x:row r="17">
      <x:c r="B17" s="27" t="str">
        <x:v>Depreciation</x:v>
      </x:c>
      <x:c r="C17" s="27" t="str">
        <x:v>Finance</x:v>
      </x:c>
      <x:c r="D17" s="40" t="n">
        <x:v>800</x:v>
      </x:c>
      <x:c r="E17" s="40" t="n">
        <x:v>800</x:v>
      </x:c>
      <x:c r="F17" s="40" t="n">
        <x:v>800</x:v>
      </x:c>
      <x:c r="G17" s="40" t="n">
        <x:v>800</x:v>
      </x:c>
      <x:c r="H17" s="40" t="n">
        <x:v>800</x:v>
      </x:c>
      <x:c r="I17" s="40" t="n">
        <x:v>800</x:v>
      </x:c>
      <x:c r="J17" s="40" t="n">
        <x:v>800</x:v>
      </x:c>
      <x:c r="K17" s="40" t="n">
        <x:v>800</x:v>
      </x:c>
      <x:c r="L17" s="40" t="n">
        <x:v>800</x:v>
      </x:c>
      <x:c r="M17" s="40" t="n">
        <x:v>800</x:v>
      </x:c>
      <x:c r="N17" s="40" t="n">
        <x:v>800</x:v>
      </x:c>
      <x:c r="O17" s="40" t="n">
        <x:v>800</x:v>
      </x:c>
      <x:c r="P17" s="40" t="n">
        <x:f>SUM(D17:O17)</x:f>
        <x:v>9600</x:v>
      </x:c>
    </x:row>
    <x:row r="18">
      <x:c r="B18" s="27" t="str">
        <x:v>Interest</x:v>
      </x:c>
      <x:c r="C18" s="27" t="str">
        <x:v>Finance</x:v>
      </x:c>
      <x:c r="D18" s="40" t="n">
        <x:v>250</x:v>
      </x:c>
      <x:c r="E18" s="40" t="n">
        <x:v>250</x:v>
      </x:c>
      <x:c r="F18" s="40" t="n">
        <x:v>250</x:v>
      </x:c>
      <x:c r="G18" s="40" t="n">
        <x:v>250</x:v>
      </x:c>
      <x:c r="H18" s="40" t="n">
        <x:v>250</x:v>
      </x:c>
      <x:c r="I18" s="40" t="n">
        <x:v>250</x:v>
      </x:c>
      <x:c r="J18" s="40" t="n">
        <x:v>250</x:v>
      </x:c>
      <x:c r="K18" s="40" t="n">
        <x:v>250</x:v>
      </x:c>
      <x:c r="L18" s="40" t="n">
        <x:v>250</x:v>
      </x:c>
      <x:c r="M18" s="40" t="n">
        <x:v>250</x:v>
      </x:c>
      <x:c r="N18" s="40" t="n">
        <x:v>250</x:v>
      </x:c>
      <x:c r="O18" s="40" t="n">
        <x:v>250</x:v>
      </x:c>
      <x:c r="P18" s="40" t="n">
        <x:f>SUM(D18:O18)</x:f>
        <x:v>3000</x:v>
      </x:c>
    </x:row>
    <x:row r="19">
      <x:c r="B19" s="27" t="str">
        <x:v>Other expenses</x:v>
      </x:c>
      <x:c r="C19" s="27" t="str">
        <x:v>Administration</x:v>
      </x:c>
      <x:c r="D19" s="40" t="n">
        <x:v>350</x:v>
      </x:c>
      <x:c r="E19" s="40" t="n">
        <x:v>350</x:v>
      </x:c>
      <x:c r="F19" s="40" t="n">
        <x:v>350</x:v>
      </x:c>
      <x:c r="G19" s="40" t="n">
        <x:v>350</x:v>
      </x:c>
      <x:c r="H19" s="40" t="n">
        <x:v>350</x:v>
      </x:c>
      <x:c r="I19" s="40" t="n">
        <x:v>350</x:v>
      </x:c>
      <x:c r="J19" s="40" t="n">
        <x:v>350</x:v>
      </x:c>
      <x:c r="K19" s="40" t="n">
        <x:v>350</x:v>
      </x:c>
      <x:c r="L19" s="40" t="n">
        <x:v>350</x:v>
      </x:c>
      <x:c r="M19" s="40" t="n">
        <x:v>350</x:v>
      </x:c>
      <x:c r="N19" s="40" t="n">
        <x:v>350</x:v>
      </x:c>
      <x:c r="O19" s="40" t="n">
        <x:v>350</x:v>
      </x:c>
      <x:c r="P19" s="40" t="n">
        <x:f>SUM(D19:O19)</x:f>
        <x:v>4200</x:v>
      </x:c>
    </x:row>
    <x:row r="20">
      <x:c r="B20" s="27"/>
      <x:c r="C20" s="27"/>
      <x:c r="D20" s="40"/>
      <x:c r="E20" s="40"/>
      <x:c r="F20" s="40"/>
      <x:c r="G20" s="40"/>
      <x:c r="H20" s="40"/>
      <x:c r="I20" s="40"/>
      <x:c r="J20" s="40"/>
      <x:c r="K20" s="40"/>
      <x:c r="L20" s="40"/>
      <x:c r="M20" s="40"/>
      <x:c r="N20" s="40"/>
      <x:c r="O20" s="40"/>
      <x:c r="P20" s="40"/>
    </x:row>
    <x:row r="21">
      <x:c r="B21" s="78" t="str">
        <x:v>TOTAL</x:v>
      </x:c>
      <x:c r="C21" s="78" t="str">
        <x:v>All departments</x:v>
      </x:c>
      <x:c r="D21" s="79" t="n">
        <x:f>SUM(D7:D19)</x:f>
        <x:v>24725</x:v>
      </x:c>
      <x:c r="E21" s="79" t="n">
        <x:f>SUM(E7:E19)</x:f>
        <x:v>24225</x:v>
      </x:c>
      <x:c r="F21" s="79" t="n">
        <x:f>SUM(F7:F19)</x:f>
        <x:v>24225</x:v>
      </x:c>
      <x:c r="G21" s="79" t="n">
        <x:f>SUM(G7:G19)</x:f>
        <x:v>25525</x:v>
      </x:c>
      <x:c r="H21" s="79" t="n">
        <x:f>SUM(H7:H19)</x:f>
        <x:v>23225</x:v>
      </x:c>
      <x:c r="I21" s="79" t="n">
        <x:f>SUM(I7:I19)</x:f>
        <x:v>22725</x:v>
      </x:c>
      <x:c r="J21" s="79" t="n">
        <x:f>SUM(J7:J19)</x:f>
        <x:v>21225</x:v>
      </x:c>
      <x:c r="K21" s="79" t="n">
        <x:f>SUM(K7:K19)</x:f>
        <x:v>22225</x:v>
      </x:c>
      <x:c r="L21" s="79" t="n">
        <x:f>SUM(L7:L19)</x:f>
        <x:v>24725</x:v>
      </x:c>
      <x:c r="M21" s="79" t="n">
        <x:f>SUM(M7:M19)</x:f>
        <x:v>25225</x:v>
      </x:c>
      <x:c r="N21" s="79" t="n">
        <x:f>SUM(N7:N19)</x:f>
        <x:v>24225</x:v>
      </x:c>
      <x:c r="O21" s="79" t="n">
        <x:f>SUM(O7:O19)</x:f>
        <x:v>22725</x:v>
      </x:c>
      <x:c r="P21" s="79" t="n">
        <x:f>SUM(P7:P19)</x:f>
        <x:v>285000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" hidden="0" customWidth="1"/>
    <x:col min="2" max="2" width="24" hidden="0" customWidth="1"/>
    <x:col min="3" max="3" width="2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4" hidden="0" customWidth="1"/>
  </x:cols>
  <x:sheetData>
    <x:row r="2">
      <x:c r="B2" s="24" t="str">
        <x:v>Draft Profit and Loss</x:v>
      </x:c>
      <x:c r="C2" s="25"/>
      <x:c r="D2" s="25"/>
      <x:c r="E2" s="25"/>
      <x:c r="F2" s="25"/>
      <x:c r="G2" s="25"/>
      <x:c r="H2" s="25"/>
      <x:c r="I2" s="25"/>
      <x:c r="J2" s="25"/>
      <x:c r="K2" s="25"/>
      <x:c r="L2" s="25"/>
      <x:c r="M2" s="25"/>
      <x:c r="N2" s="25"/>
      <x:c r="O2" s="25"/>
      <x:c r="P2" s="25"/>
    </x:row>
    <x:row r="3">
      <x:c r="B3" s="26" t="str">
        <x:v>Original 2026 departmental budget. Keep unchanged; produce Part 1 in sheet 10 and Part 2 in sheet 12.</x:v>
      </x:c>
      <x:c r="C3" s="26"/>
      <x:c r="D3" s="26"/>
      <x:c r="E3" s="26"/>
      <x:c r="F3" s="26"/>
      <x:c r="G3" s="26"/>
      <x:c r="H3" s="26"/>
      <x:c r="I3" s="26"/>
      <x:c r="J3" s="26"/>
      <x:c r="K3" s="26"/>
      <x:c r="L3" s="26"/>
      <x:c r="M3" s="26"/>
      <x:c r="N3" s="26"/>
      <x:c r="O3" s="26"/>
      <x:c r="P3" s="26"/>
    </x:row>
    <x:row r="4">
      <x:c r="B4" s="27"/>
      <x:c r="C4" s="27"/>
      <x:c r="D4" s="27"/>
      <x:c r="E4" s="27"/>
      <x:c r="F4" s="27"/>
      <x:c r="G4" s="27"/>
      <x:c r="H4" s="27"/>
      <x:c r="I4" s="27"/>
      <x:c r="J4" s="27"/>
      <x:c r="K4" s="27"/>
      <x:c r="L4" s="27"/>
      <x:c r="M4" s="27"/>
      <x:c r="N4" s="27"/>
      <x:c r="O4" s="27"/>
      <x:c r="P4" s="27"/>
    </x:row>
    <x:row r="5">
      <x:c r="B5" s="27"/>
      <x:c r="C5" s="27"/>
      <x:c r="D5" s="27"/>
      <x:c r="E5" s="27"/>
      <x:c r="F5" s="27"/>
      <x:c r="G5" s="27"/>
      <x:c r="H5" s="27"/>
      <x:c r="I5" s="27"/>
      <x:c r="J5" s="27"/>
      <x:c r="K5" s="27"/>
      <x:c r="L5" s="27"/>
      <x:c r="M5" s="27"/>
      <x:c r="N5" s="27"/>
      <x:c r="O5" s="27"/>
      <x:c r="P5" s="27"/>
    </x:row>
    <x:row r="6">
      <x:c r="B6" s="8" t="str">
        <x:v>P&amp;L line</x:v>
      </x:c>
      <x:c r="C6" s="8" t="str">
        <x:v>Source</x:v>
      </x:c>
      <x:c r="D6" s="8" t="str">
        <x:v>Jan</x:v>
      </x:c>
      <x:c r="E6" s="8" t="str">
        <x:v>Feb</x:v>
      </x:c>
      <x:c r="F6" s="8" t="str">
        <x:v>Mar</x:v>
      </x:c>
      <x:c r="G6" s="8" t="str">
        <x:v>Apr</x:v>
      </x:c>
      <x:c r="H6" s="8" t="str">
        <x:v>May</x:v>
      </x:c>
      <x:c r="I6" s="8" t="str">
        <x:v>Jun</x:v>
      </x:c>
      <x:c r="J6" s="8" t="str">
        <x:v>Jul</x:v>
      </x:c>
      <x:c r="K6" s="8" t="str">
        <x:v>Aug</x:v>
      </x:c>
      <x:c r="L6" s="8" t="str">
        <x:v>Sep</x:v>
      </x:c>
      <x:c r="M6" s="8" t="str">
        <x:v>Oct</x:v>
      </x:c>
      <x:c r="N6" s="8" t="str">
        <x:v>Nov</x:v>
      </x:c>
      <x:c r="O6" s="8" t="str">
        <x:v>Dec</x:v>
      </x:c>
      <x:c r="P6" s="8" t="str">
        <x:v>FY Total</x:v>
      </x:c>
    </x:row>
    <x:row r="7">
      <x:c r="B7" s="27" t="str">
        <x:v>Revenue</x:v>
      </x:c>
      <x:c r="C7" s="27" t="str">
        <x:v>Sales budget</x:v>
      </x:c>
      <x:c r="D7" s="40" t="n">
        <x:f>'05 Draft Sales Budget'!D23</x:f>
        <x:v>55500</x:v>
      </x:c>
      <x:c r="E7" s="40" t="n">
        <x:f>'05 Draft Sales Budget'!E23</x:f>
        <x:v>63000</x:v>
      </x:c>
      <x:c r="F7" s="40" t="n">
        <x:f>'05 Draft Sales Budget'!F23</x:f>
        <x:v>69500</x:v>
      </x:c>
      <x:c r="G7" s="40" t="n">
        <x:f>'05 Draft Sales Budget'!G23</x:f>
        <x:v>80500</x:v>
      </x:c>
      <x:c r="H7" s="40" t="n">
        <x:f>'05 Draft Sales Budget'!H23</x:f>
        <x:v>68000</x:v>
      </x:c>
      <x:c r="I7" s="40" t="n">
        <x:f>'05 Draft Sales Budget'!I23</x:f>
        <x:v>73500</x:v>
      </x:c>
      <x:c r="J7" s="40" t="n">
        <x:f>'05 Draft Sales Budget'!J23</x:f>
        <x:v>60000</x:v>
      </x:c>
      <x:c r="K7" s="40" t="n">
        <x:f>'05 Draft Sales Budget'!K23</x:f>
        <x:v>91500</x:v>
      </x:c>
      <x:c r="L7" s="40" t="n">
        <x:f>'05 Draft Sales Budget'!L23</x:f>
        <x:v>113500</x:v>
      </x:c>
      <x:c r="M7" s="40" t="n">
        <x:f>'05 Draft Sales Budget'!M23</x:f>
        <x:v>124000</x:v>
      </x:c>
      <x:c r="N7" s="40" t="n">
        <x:f>'05 Draft Sales Budget'!N23</x:f>
        <x:v>103500</x:v>
      </x:c>
      <x:c r="O7" s="40" t="n">
        <x:f>'05 Draft Sales Budget'!O23</x:f>
        <x:v>87000</x:v>
      </x:c>
      <x:c r="P7" s="40" t="n">
        <x:f>SUM(D7:O7)</x:f>
        <x:v>989500</x:v>
      </x:c>
    </x:row>
    <x:row r="8">
      <x:c r="B8" s="27" t="str">
        <x:v>Direct program costs</x:v>
      </x:c>
      <x:c r="C8" s="27" t="str">
        <x:v>Program plan</x:v>
      </x:c>
      <x:c r="D8" s="40" t="n">
        <x:f>-SUMIF('06 Draft Program Plan'!$C$7:$C$32,"Jan",'06 Draft Program Plan'!$R$7:$R$32)</x:f>
        <x:v>-4000</x:v>
      </x:c>
      <x:c r="E8" s="40" t="n">
        <x:f>-SUMIF('06 Draft Program Plan'!$C$7:$C$32,"Feb",'06 Draft Program Plan'!$R$7:$R$32)</x:f>
        <x:v>-5955</x:v>
      </x:c>
      <x:c r="F8" s="40" t="n">
        <x:f>-SUMIF('06 Draft Program Plan'!$C$7:$C$32,"Mar",'06 Draft Program Plan'!$R$7:$R$32)</x:f>
        <x:v>-6250</x:v>
      </x:c>
      <x:c r="G8" s="40" t="n">
        <x:f>-SUMIF('06 Draft Program Plan'!$C$7:$C$32,"Apr",'06 Draft Program Plan'!$R$7:$R$32)</x:f>
        <x:v>-6152.5</x:v>
      </x:c>
      <x:c r="H8" s="40" t="n">
        <x:f>-SUMIF('06 Draft Program Plan'!$C$7:$C$32,"May",'06 Draft Program Plan'!$R$7:$R$32)</x:f>
        <x:v>-4805</x:v>
      </x:c>
      <x:c r="I8" s="40" t="n">
        <x:f>-SUMIF('06 Draft Program Plan'!$C$7:$C$32,"Jun",'06 Draft Program Plan'!$R$7:$R$32)</x:f>
        <x:v>-8025</x:v>
      </x:c>
      <x:c r="J8" s="40" t="n">
        <x:f>-SUMIF('06 Draft Program Plan'!$C$7:$C$32,"Jul",'06 Draft Program Plan'!$R$7:$R$32)</x:f>
        <x:v>-1125</x:v>
      </x:c>
      <x:c r="K8" s="40" t="n">
        <x:f>-SUMIF('06 Draft Program Plan'!$C$7:$C$32,"Aug",'06 Draft Program Plan'!$R$7:$R$32)</x:f>
        <x:v>-4550</x:v>
      </x:c>
      <x:c r="L8" s="40" t="n">
        <x:f>-SUMIF('06 Draft Program Plan'!$C$7:$C$32,"Sep",'06 Draft Program Plan'!$R$7:$R$32)</x:f>
        <x:v>-13770</x:v>
      </x:c>
      <x:c r="M8" s="40" t="n">
        <x:f>-SUMIF('06 Draft Program Plan'!$C$7:$C$32,"Oct",'06 Draft Program Plan'!$R$7:$R$32)</x:f>
        <x:v>-8497.5</x:v>
      </x:c>
      <x:c r="N8" s="40" t="n">
        <x:f>-SUMIF('06 Draft Program Plan'!$C$7:$C$32,"Nov",'06 Draft Program Plan'!$R$7:$R$32)</x:f>
        <x:v>-10240</x:v>
      </x:c>
      <x:c r="O8" s="40" t="n">
        <x:f>-SUMIF('06 Draft Program Plan'!$C$7:$C$32,"Dec",'06 Draft Program Plan'!$R$7:$R$32)</x:f>
        <x:v>-3825</x:v>
      </x:c>
      <x:c r="P8" s="40" t="n">
        <x:f>SUM(D8:O8)</x:f>
        <x:v>-77195</x:v>
      </x:c>
    </x:row>
    <x:row r="9">
      <x:c r="B9" s="59" t="str">
        <x:v>Contribution</x:v>
      </x:c>
      <x:c r="C9" s="59" t="str"/>
      <x:c r="D9" s="60" t="n">
        <x:f>SUM(D7:D8)</x:f>
        <x:v>51500</x:v>
      </x:c>
      <x:c r="E9" s="60" t="n">
        <x:f>SUM(E7:E8)</x:f>
        <x:v>57045</x:v>
      </x:c>
      <x:c r="F9" s="60" t="n">
        <x:f>SUM(F7:F8)</x:f>
        <x:v>63250</x:v>
      </x:c>
      <x:c r="G9" s="60" t="n">
        <x:f>SUM(G7:G8)</x:f>
        <x:v>74347.5</x:v>
      </x:c>
      <x:c r="H9" s="60" t="n">
        <x:f>SUM(H7:H8)</x:f>
        <x:v>63195</x:v>
      </x:c>
      <x:c r="I9" s="60" t="n">
        <x:f>SUM(I7:I8)</x:f>
        <x:v>65475</x:v>
      </x:c>
      <x:c r="J9" s="60" t="n">
        <x:f>SUM(J7:J8)</x:f>
        <x:v>58875</x:v>
      </x:c>
      <x:c r="K9" s="60" t="n">
        <x:f>SUM(K7:K8)</x:f>
        <x:v>86950</x:v>
      </x:c>
      <x:c r="L9" s="60" t="n">
        <x:f>SUM(L7:L8)</x:f>
        <x:v>99730</x:v>
      </x:c>
      <x:c r="M9" s="60" t="n">
        <x:f>SUM(M7:M8)</x:f>
        <x:v>115502.5</x:v>
      </x:c>
      <x:c r="N9" s="60" t="n">
        <x:f>SUM(N7:N8)</x:f>
        <x:v>93260</x:v>
      </x:c>
      <x:c r="O9" s="60" t="n">
        <x:f>SUM(O7:O8)</x:f>
        <x:v>83175</x:v>
      </x:c>
      <x:c r="P9" s="60" t="n">
        <x:f>SUM(D9:O9)</x:f>
        <x:v>912305</x:v>
      </x:c>
    </x:row>
    <x:row r="10">
      <x:c r="B10" s="59" t="str">
        <x:v>Contribution margin</x:v>
      </x:c>
      <x:c r="C10" s="59" t="str"/>
      <x:c r="D10" s="61" t="n">
        <x:f>D9/D7</x:f>
        <x:v>0.9279279279279279</x:v>
      </x:c>
      <x:c r="E10" s="61" t="n">
        <x:f>E9/E7</x:f>
        <x:v>0.9054761904761904</x:v>
      </x:c>
      <x:c r="F10" s="61" t="n">
        <x:f>F9/F7</x:f>
        <x:v>0.9100719424460432</x:v>
      </x:c>
      <x:c r="G10" s="61" t="n">
        <x:f>G9/G7</x:f>
        <x:v>0.9235714285714286</x:v>
      </x:c>
      <x:c r="H10" s="61" t="n">
        <x:f>H9/H7</x:f>
        <x:v>0.9293382352941176</x:v>
      </x:c>
      <x:c r="I10" s="61" t="n">
        <x:f>I9/I7</x:f>
        <x:v>0.8908163265306123</x:v>
      </x:c>
      <x:c r="J10" s="61" t="n">
        <x:f>J9/J7</x:f>
        <x:v>0.98125</x:v>
      </x:c>
      <x:c r="K10" s="61" t="n">
        <x:f>K9/K7</x:f>
        <x:v>0.9502732240437158</x:v>
      </x:c>
      <x:c r="L10" s="61" t="n">
        <x:f>L9/L7</x:f>
        <x:v>0.8786784140969163</x:v>
      </x:c>
      <x:c r="M10" s="61" t="n">
        <x:f>M9/M7</x:f>
        <x:v>0.9314717741935484</x:v>
      </x:c>
      <x:c r="N10" s="61" t="n">
        <x:f>N9/N7</x:f>
        <x:v>0.9010628019323671</x:v>
      </x:c>
      <x:c r="O10" s="61" t="n">
        <x:f>O9/O7</x:f>
        <x:v>0.9560344827586207</x:v>
      </x:c>
      <x:c r="P10" s="61" t="n">
        <x:f>P9/P7</x:f>
        <x:v>0.9219858514401212</x:v>
      </x:c>
    </x:row>
    <x:row r="11">
      <x:c r="B11" s="27" t="str">
        <x:v>Operating expenses</x:v>
      </x:c>
      <x:c r="C11" s="27" t="str">
        <x:v>Expense budget</x:v>
      </x:c>
      <x:c r="D11" s="40" t="n">
        <x:f>-'07 Draft Operating Costs'!D21</x:f>
        <x:v>-24725</x:v>
      </x:c>
      <x:c r="E11" s="40" t="n">
        <x:f>-'07 Draft Operating Costs'!E21</x:f>
        <x:v>-24225</x:v>
      </x:c>
      <x:c r="F11" s="40" t="n">
        <x:f>-'07 Draft Operating Costs'!F21</x:f>
        <x:v>-24225</x:v>
      </x:c>
      <x:c r="G11" s="40" t="n">
        <x:f>-'07 Draft Operating Costs'!G21</x:f>
        <x:v>-25525</x:v>
      </x:c>
      <x:c r="H11" s="40" t="n">
        <x:f>-'07 Draft Operating Costs'!H21</x:f>
        <x:v>-23225</x:v>
      </x:c>
      <x:c r="I11" s="40" t="n">
        <x:f>-'07 Draft Operating Costs'!I21</x:f>
        <x:v>-22725</x:v>
      </x:c>
      <x:c r="J11" s="40" t="n">
        <x:f>-'07 Draft Operating Costs'!J21</x:f>
        <x:v>-21225</x:v>
      </x:c>
      <x:c r="K11" s="40" t="n">
        <x:f>-'07 Draft Operating Costs'!K21</x:f>
        <x:v>-22225</x:v>
      </x:c>
      <x:c r="L11" s="40" t="n">
        <x:f>-'07 Draft Operating Costs'!L21</x:f>
        <x:v>-24725</x:v>
      </x:c>
      <x:c r="M11" s="40" t="n">
        <x:f>-'07 Draft Operating Costs'!M21</x:f>
        <x:v>-25225</x:v>
      </x:c>
      <x:c r="N11" s="40" t="n">
        <x:f>-'07 Draft Operating Costs'!N21</x:f>
        <x:v>-24225</x:v>
      </x:c>
      <x:c r="O11" s="40" t="n">
        <x:f>-'07 Draft Operating Costs'!O21</x:f>
        <x:v>-22725</x:v>
      </x:c>
      <x:c r="P11" s="40" t="n">
        <x:f>SUM(D11:O11)</x:f>
        <x:v>-285000</x:v>
      </x:c>
    </x:row>
    <x:row r="12">
      <x:c r="B12" s="62" t="str">
        <x:v>Operating profit</x:v>
      </x:c>
      <x:c r="C12" s="62" t="str"/>
      <x:c r="D12" s="63" t="n">
        <x:f>SUM(D9,D11)</x:f>
        <x:v>26775</x:v>
      </x:c>
      <x:c r="E12" s="63" t="n">
        <x:f>SUM(E9,E11)</x:f>
        <x:v>32820</x:v>
      </x:c>
      <x:c r="F12" s="63" t="n">
        <x:f>SUM(F9,F11)</x:f>
        <x:v>39025</x:v>
      </x:c>
      <x:c r="G12" s="63" t="n">
        <x:f>SUM(G9,G11)</x:f>
        <x:v>48822.5</x:v>
      </x:c>
      <x:c r="H12" s="63" t="n">
        <x:f>SUM(H9,H11)</x:f>
        <x:v>39970</x:v>
      </x:c>
      <x:c r="I12" s="63" t="n">
        <x:f>SUM(I9,I11)</x:f>
        <x:v>42750</x:v>
      </x:c>
      <x:c r="J12" s="63" t="n">
        <x:f>SUM(J9,J11)</x:f>
        <x:v>37650</x:v>
      </x:c>
      <x:c r="K12" s="63" t="n">
        <x:f>SUM(K9,K11)</x:f>
        <x:v>64725</x:v>
      </x:c>
      <x:c r="L12" s="63" t="n">
        <x:f>SUM(L9,L11)</x:f>
        <x:v>75005</x:v>
      </x:c>
      <x:c r="M12" s="63" t="n">
        <x:f>SUM(M9,M11)</x:f>
        <x:v>90277.5</x:v>
      </x:c>
      <x:c r="N12" s="63" t="n">
        <x:f>SUM(N9,N11)</x:f>
        <x:v>69035</x:v>
      </x:c>
      <x:c r="O12" s="63" t="n">
        <x:f>SUM(O9,O11)</x:f>
        <x:v>60450</x:v>
      </x:c>
      <x:c r="P12" s="63" t="n">
        <x:f>SUM(D12:O12)</x:f>
        <x:v>627305</x:v>
      </x:c>
    </x:row>
    <x:row r="13">
      <x:c r="B13" s="62" t="str">
        <x:v>Operating margin</x:v>
      </x:c>
      <x:c r="C13" s="62" t="str"/>
      <x:c r="D13" s="64" t="n">
        <x:f>D12/D7</x:f>
        <x:v>0.48243243243243245</x:v>
      </x:c>
      <x:c r="E13" s="64" t="n">
        <x:f>E12/E7</x:f>
        <x:v>0.520952380952381</x:v>
      </x:c>
      <x:c r="F13" s="64" t="n">
        <x:f>F12/F7</x:f>
        <x:v>0.5615107913669065</x:v>
      </x:c>
      <x:c r="G13" s="64" t="n">
        <x:f>G12/G7</x:f>
        <x:v>0.6064906832298137</x:v>
      </x:c>
      <x:c r="H13" s="64" t="n">
        <x:f>H12/H7</x:f>
        <x:v>0.5877941176470588</x:v>
      </x:c>
      <x:c r="I13" s="64" t="n">
        <x:f>I12/I7</x:f>
        <x:v>0.5816326530612245</x:v>
      </x:c>
      <x:c r="J13" s="64" t="n">
        <x:f>J12/J7</x:f>
        <x:v>0.6275</x:v>
      </x:c>
      <x:c r="K13" s="64" t="n">
        <x:f>K12/K7</x:f>
        <x:v>0.7073770491803278</x:v>
      </x:c>
      <x:c r="L13" s="64" t="n">
        <x:f>L12/L7</x:f>
        <x:v>0.6608370044052864</x:v>
      </x:c>
      <x:c r="M13" s="64" t="n">
        <x:f>M12/M7</x:f>
        <x:v>0.7280443548387097</x:v>
      </x:c>
      <x:c r="N13" s="64" t="n">
        <x:f>N12/N7</x:f>
        <x:v>0.6670048309178744</x:v>
      </x:c>
      <x:c r="O13" s="64" t="n">
        <x:f>O12/O7</x:f>
        <x:v>0.6948275862068966</x:v>
      </x:c>
      <x:c r="P13" s="64" t="n">
        <x:f>P12/P7</x:f>
        <x:v>0.6339615967660435</x:v>
      </x:c>
    </x:row>
    <x:row r="14">
      <x:c r="B14" s="62" t="str">
        <x:v>Prior-year operating profit</x:v>
      </x:c>
      <x:c r="C14" s="62" t="str">
        <x:v>Historical</x:v>
      </x:c>
      <x:c r="D14" s="63" t="n">
        <x:f>'01 Prior Year P&amp;L'!D15</x:f>
        <x:v>-1350</x:v>
      </x:c>
      <x:c r="E14" s="63" t="n">
        <x:f>'01 Prior Year P&amp;L'!E15</x:f>
        <x:v>2745</x:v>
      </x:c>
      <x:c r="F14" s="63" t="n">
        <x:f>'01 Prior Year P&amp;L'!F15</x:f>
        <x:v>-795</x:v>
      </x:c>
      <x:c r="G14" s="63" t="n">
        <x:f>'01 Prior Year P&amp;L'!G15</x:f>
        <x:v>8280</x:v>
      </x:c>
      <x:c r="H14" s="63" t="n">
        <x:f>'01 Prior Year P&amp;L'!H15</x:f>
        <x:v>-1680</x:v>
      </x:c>
      <x:c r="I14" s="63" t="n">
        <x:f>'01 Prior Year P&amp;L'!I15</x:f>
        <x:v>-8650</x:v>
      </x:c>
      <x:c r="J14" s="63" t="n">
        <x:f>'01 Prior Year P&amp;L'!J15</x:f>
        <x:v>-16000</x:v>
      </x:c>
      <x:c r="K14" s="63" t="n">
        <x:f>'01 Prior Year P&amp;L'!K15</x:f>
        <x:v>-6410</x:v>
      </x:c>
      <x:c r="L14" s="63" t="n">
        <x:f>'01 Prior Year P&amp;L'!L15</x:f>
        <x:v>7355</x:v>
      </x:c>
      <x:c r="M14" s="63" t="n">
        <x:f>'01 Prior Year P&amp;L'!M15</x:f>
        <x:v>9250</x:v>
      </x:c>
      <x:c r="N14" s="63" t="n">
        <x:f>'01 Prior Year P&amp;L'!N15</x:f>
        <x:v>-4950</x:v>
      </x:c>
      <x:c r="O14" s="63" t="n">
        <x:f>'01 Prior Year P&amp;L'!O15</x:f>
        <x:v>-3450</x:v>
      </x:c>
      <x:c r="P14" s="63" t="n">
        <x:f>SUM(D14:O14)</x:f>
        <x:v>-15655</x:v>
      </x:c>
    </x:row>
    <x:row r="15">
      <x:c r="B15" s="62" t="str">
        <x:v>Change in operating profit</x:v>
      </x:c>
      <x:c r="C15" s="62" t="str">
        <x:v>EUR versus prior year</x:v>
      </x:c>
      <x:c r="D15" s="63" t="n">
        <x:f>D12-D14</x:f>
        <x:v>28125</x:v>
      </x:c>
      <x:c r="E15" s="63" t="n">
        <x:f>E12-E14</x:f>
        <x:v>30075</x:v>
      </x:c>
      <x:c r="F15" s="63" t="n">
        <x:f>F12-F14</x:f>
        <x:v>39820</x:v>
      </x:c>
      <x:c r="G15" s="63" t="n">
        <x:f>G12-G14</x:f>
        <x:v>40542.5</x:v>
      </x:c>
      <x:c r="H15" s="63" t="n">
        <x:f>H12-H14</x:f>
        <x:v>41650</x:v>
      </x:c>
      <x:c r="I15" s="63" t="n">
        <x:f>I12-I14</x:f>
        <x:v>51400</x:v>
      </x:c>
      <x:c r="J15" s="63" t="n">
        <x:f>J12-J14</x:f>
        <x:v>53650</x:v>
      </x:c>
      <x:c r="K15" s="63" t="n">
        <x:f>K12-K14</x:f>
        <x:v>71135</x:v>
      </x:c>
      <x:c r="L15" s="63" t="n">
        <x:f>L12-L14</x:f>
        <x:v>67650</x:v>
      </x:c>
      <x:c r="M15" s="63" t="n">
        <x:f>M12-M14</x:f>
        <x:v>81027.5</x:v>
      </x:c>
      <x:c r="N15" s="63" t="n">
        <x:f>N12-N14</x:f>
        <x:v>73985</x:v>
      </x:c>
      <x:c r="O15" s="63" t="n">
        <x:f>O12-O14</x:f>
        <x:v>63900</x:v>
      </x:c>
      <x:c r="P15" s="63" t="n">
        <x:f>P12-P14</x:f>
        <x:v>642960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7" hidden="0" customWidth="1"/>
    <x:col min="2" max="2" width="28" hidden="0" customWidth="1"/>
    <x:col min="3" max="3" width="16" hidden="0" customWidth="1"/>
    <x:col min="4" max="4" width="34" hidden="0" customWidth="1"/>
    <x:col min="5" max="5" width="30" hidden="0" customWidth="1"/>
    <x:col min="6" max="6" width="22" hidden="0" customWidth="1"/>
    <x:col min="7" max="7" width="18" hidden="0" customWidth="1"/>
    <x:col min="8" max="8" width="48" hidden="0" customWidth="1"/>
    <x:col min="9" max="9" width="28" hidden="0" customWidth="1"/>
  </x:cols>
  <x:sheetData>
    <x:row r="1">
      <x:c r="A1" s="172" t="str">
        <x:v>Assumption Review</x:v>
      </x:c>
      <x:c r="B1" s="13"/>
      <x:c r="C1" s="13"/>
      <x:c r="D1" s="13"/>
      <x:c r="E1" s="13"/>
      <x:c r="F1" s="13"/>
      <x:c r="G1" s="13"/>
      <x:c r="H1" s="13"/>
    </x:row>
    <x:row r="2">
      <x:c r="A2" s="164" t="str">
        <x:v>Evidence-backed corrections, explicit assumptions and the boundary between Part 1 and Part 2.</x:v>
      </x:c>
      <x:c r="B2" s="24"/>
      <x:c r="C2" s="25"/>
      <x:c r="D2" s="25"/>
      <x:c r="E2" s="25"/>
      <x:c r="F2" s="25"/>
      <x:c r="G2" s="25"/>
      <x:c r="H2" s="25"/>
      <x:c r="I2" s="25"/>
    </x:row>
    <x:row r="3">
      <x:c r="B3" s="26" t="str">
        <x:v>Distinguish Part 1 corrections from Part 2 decisions. Cite evidence; state any assumptions you must make.</x:v>
      </x:c>
      <x:c r="C3" s="26"/>
      <x:c r="D3" s="26"/>
      <x:c r="E3" s="26"/>
      <x:c r="F3" s="26"/>
      <x:c r="G3" s="26"/>
      <x:c r="H3" s="26"/>
      <x:c r="I3" s="26"/>
    </x:row>
    <x:row r="4">
      <x:c r="A4" s="166" t="str">
        <x:v>No.</x:v>
      </x:c>
      <x:c r="B4" s="166" t="str">
        <x:v>Assumption</x:v>
      </x:c>
      <x:c r="C4" s="166" t="str">
        <x:v>Owner</x:v>
      </x:c>
      <x:c r="D4" s="166" t="str">
        <x:v>Evidence or source</x:v>
      </x:c>
      <x:c r="E4" s="166" t="str">
        <x:v>Conflict found</x:v>
      </x:c>
      <x:c r="F4" s="166" t="str">
        <x:v>Financial effect</x:v>
      </x:c>
      <x:c r="G4" s="166" t="str">
        <x:v>Correction or decision</x:v>
      </x:c>
      <x:c r="H4" s="166" t="str">
        <x:v>Correction / action and timing</x:v>
      </x:c>
      <x:c r="I4" s="27"/>
    </x:row>
    <x:row r="5">
      <x:c r="A5" s="168" t="n">
        <x:v>1</x:v>
      </x:c>
      <x:c r="B5" s="166" t="str">
        <x:v>Use the named programme register as a conservative, evidence-supported delivery baseline.</x:v>
      </x:c>
      <x:c r="C5" s="166" t="str">
        <x:v>Sales / Operations</x:v>
      </x:c>
      <x:c r="D5" s="166" t="str">
        <x:v>05 Draft Sales Budget!D23:P23; 06 Draft Program Plan!B7:T32</x:v>
      </x:c>
      <x:c r="E5" s="166" t="str">
        <x:v>Draft revenue includes €818,700 not tied to named events.</x:v>
      </x:c>
      <x:c r="F5" s="169" t="str">
        <x:v>Revenue: -€818,700</x:v>
      </x:c>
      <x:c r="G5" s="166" t="str">
        <x:v>Correction</x:v>
      </x:c>
      <x:c r="H5" s="166" t="str">
        <x:v>Recognize named events in delivery month only. This is a conservative baseline, not a claim that no further sales are possible.</x:v>
      </x:c>
      <x:c r="I5" s="27"/>
    </x:row>
    <x:row r="6" ht="32" customHeight="1">
      <x:c r="A6" s="168" t="n">
        <x:v>2</x:v>
      </x:c>
      <x:c r="B6" s="167" t="str">
        <x:v>Remove Anna-owned March–December programme revenue as a modelling assumption.</x:v>
      </x:c>
      <x:c r="C6" s="167" t="str">
        <x:v>HR / Sales</x:v>
      </x:c>
      <x:c r="D6" s="167" t="str">
        <x:v>06 HR and Personnel Plan · Anna Power status</x:v>
      </x:c>
      <x:c r="E6" s="167" t="str">
        <x:v>No documented handover exists after Anna leaves 28 February.</x:v>
      </x:c>
      <x:c r="F6" s="170" t="str">
        <x:v>Revenue: -€20,400; direct cost adjustment shown in Sheet 10</x:v>
      </x:c>
      <x:c r="G6" s="167" t="str">
        <x:v>Correction</x:v>
      </x:c>
      <x:c r="H6" s="167" t="str">
        <x:v>This is caused by the lack of a documented handover, not proof that the programmes were cancelled. Any recovered pipeline is a Part 2 decision.</x:v>
      </x:c>
      <x:c r="I6" s="8" t="str">
        <x:v>Correction / action and timing</x:v>
      </x:c>
    </x:row>
    <x:row r="7">
      <x:c r="A7" s="168" t="n">
        <x:v>3</x:v>
      </x:c>
      <x:c r="B7" s="93" t="str">
        <x:v>Apply Ella Fast’s 0% / 25% / 50% / 100% ramp.</x:v>
      </x:c>
      <x:c r="C7" s="93" t="str">
        <x:v>HR / Sales</x:v>
      </x:c>
      <x:c r="D7" s="93" t="str">
        <x:v>06 HR and Personnel Plan · Ella Fast status</x:v>
      </x:c>
      <x:c r="E7" s="93" t="str">
        <x:v>Ella starts 1 May and is not fully productive before August.</x:v>
      </x:c>
      <x:c r="F7" s="171" t="str">
        <x:v>Revenue: -€3,750</x:v>
      </x:c>
      <x:c r="G7" s="93" t="str">
        <x:v>Correction</x:v>
      </x:c>
      <x:c r="H7" s="93" t="str">
        <x:v>June is reduced to 25%; July to 50%; August onward is fully productive.</x:v>
      </x:c>
      <x:c r="I7" s="93" t="str"/>
    </x:row>
    <x:row r="8">
      <x:c r="A8" s="168" t="n">
        <x:v>4</x:v>
      </x:c>
      <x:c r="B8" s="93" t="str">
        <x:v>Apply the external instructor rate increase from July.</x:v>
      </x:c>
      <x:c r="C8" s="93" t="str">
        <x:v>Finance / Operations</x:v>
      </x:c>
      <x:c r="D8" s="93" t="str">
        <x:v>07 Finance and Administration Notes · supplier rates; 06 Draft Program Plan!J7:M32</x:v>
      </x:c>
      <x:c r="E8" s="93" t="str">
        <x:v>The supplier rate rises 10% from 1 July.</x:v>
      </x:c>
      <x:c r="F8" s="171" t="str">
        <x:v>Direct costs: -€1,593 net of removed post-exit events</x:v>
      </x:c>
      <x:c r="G8" s="93" t="str">
        <x:v>Correction</x:v>
      </x:c>
      <x:c r="H8" s="93" t="str">
        <x:v>Use €700 through June and €770 from July; assistants remain one quarter of the applicable rate.</x:v>
      </x:c>
      <x:c r="I8" s="93" t="str"/>
    </x:row>
    <x:row r="9">
      <x:c r="A9" s="168" t="n">
        <x:v>5</x:v>
      </x:c>
      <x:c r="B9" s="93" t="str">
        <x:v>Add studio depreciation from May.</x:v>
      </x:c>
      <x:c r="C9" s="93" t="str">
        <x:v>Finance</x:v>
      </x:c>
      <x:c r="D9" s="93" t="str">
        <x:v>07 Finance and Administration Notes · fit-out</x:v>
      </x:c>
      <x:c r="E9" s="93" t="str">
        <x:v>€25,000 fit-out is ready 1 May and depreciates over 60 months.</x:v>
      </x:c>
      <x:c r="F9" s="171" t="str">
        <x:v>Operating expenses: -€3,333.33 annual</x:v>
      </x:c>
      <x:c r="G9" s="93" t="str">
        <x:v>Correction</x:v>
      </x:c>
      <x:c r="H9" s="93" t="str">
        <x:v>Add €416.67 per month from May. The purchase itself is not a P&amp;L expense.</x:v>
      </x:c>
      <x:c r="I9" s="93" t="str"/>
    </x:row>
    <x:row r="10">
      <x:c r="A10" s="168" t="n">
        <x:v>6</x:v>
      </x:c>
      <x:c r="B10" s="93" t="str">
        <x:v>Correct sales payroll for Anna leaving and Ella starting.</x:v>
      </x:c>
      <x:c r="C10" s="93" t="str">
        <x:v>HR / Finance</x:v>
      </x:c>
      <x:c r="D10" s="93" t="str">
        <x:v>06 HR and Personnel Plan · person status; 07 Draft Operating Costs!D7:O10</x:v>
      </x:c>
      <x:c r="E10" s="93" t="str">
        <x:v>Draft holds four sales salaries flat all year.</x:v>
      </x:c>
      <x:c r="F10" s="171" t="str">
        <x:v>Operating expenses: +€4,500 annual</x:v>
      </x:c>
      <x:c r="G10" s="93" t="str">
        <x:v>Correction</x:v>
      </x:c>
      <x:c r="H10" s="93" t="str">
        <x:v>Use three sales employees in March–April, four from May onward; employer cost remains 25%.</x:v>
      </x:c>
      <x:c r="I10" s="93" t="str"/>
    </x:row>
    <x:row r="11">
      <x:c r="A11" s="168" t="n">
        <x:v>7</x:v>
      </x:c>
      <x:c r="B11" s="93" t="str">
        <x:v>Part 1 is deliberately a calendar-only baseline.</x:v>
      </x:c>
      <x:c r="C11" s="93" t="str">
        <x:v>Management</x:v>
      </x:c>
      <x:c r="D11" s="93" t="str">
        <x:v>00 Start Here · Part 1 rule; 03 Sales Director Plan · sales cycle</x:v>
      </x:c>
      <x:c r="E11" s="93" t="str">
        <x:v>The register is not necessarily the full-year sales forecast.</x:v>
      </x:c>
      <x:c r="F11" s="171" t="str">
        <x:v>No additional P&amp;L effect</x:v>
      </x:c>
      <x:c r="G11" s="93" t="str">
        <x:v>Assumption</x:v>
      </x:c>
      <x:c r="H11" s="93" t="str">
        <x:v>Use this baseline only if the workbook explains why additional existing-team sales are not forecast. Part 2 contains the recovery actions.</x:v>
      </x:c>
      <x:c r="I11" s="93" t="str"/>
    </x:row>
    <x:row r="12">
      <x:c r="A12" s="168" t="n">
        <x:v>8</x:v>
      </x:c>
      <x:c r="B12" s="93" t="str">
        <x:v>Revenue is recognized in the delivery month.</x:v>
      </x:c>
      <x:c r="C12" s="93" t="str">
        <x:v>Finance / Sales</x:v>
      </x:c>
      <x:c r="D12" s="93" t="str">
        <x:v>03 Sales Director Plan · pipeline timing; 00 Start Here</x:v>
      </x:c>
      <x:c r="E12" s="93" t="str">
        <x:v>Qualifying-conversation dates are not supplied.</x:v>
      </x:c>
      <x:c r="F12" s="171" t="str">
        <x:v>Timing assumption</x:v>
      </x:c>
      <x:c r="G12" s="93" t="str">
        <x:v>Assumption</x:v>
      </x:c>
      <x:c r="H12" s="93" t="str">
        <x:v>Do not recognize pipeline revenue before a named delivery month.</x:v>
      </x:c>
      <x:c r="I12" s="93" t="str"/>
    </x:row>
    <x:row r="13">
      <x:c r="A13" s="168" t="n">
        <x:v>9</x:v>
      </x:c>
      <x:c r="B13" s="93" t="str">
        <x:v>September assistant capacity needs an explicit booking.</x:v>
      </x:c>
      <x:c r="C13" s="93" t="str">
        <x:v>Operations</x:v>
      </x:c>
      <x:c r="D13" s="93" t="str">
        <x:v>05 Operations and Trainer Plan · assistant rule; 06 Draft Program Plan!B7:T32</x:v>
      </x:c>
      <x:c r="E13" s="93" t="str">
        <x:v>September requires six assistant-days; one regular assistant covers four.</x:v>
      </x:c>
      <x:c r="F13" s="171" t="str">
        <x:v>Included in direct costs</x:v>
      </x:c>
      <x:c r="G13" s="93" t="str">
        <x:v>Risk control</x:v>
      </x:c>
      <x:c r="H13" s="93" t="str">
        <x:v>Book the additional assistant before September; retain the direct-cost estimate in the programme register.</x:v>
      </x:c>
      <x:c r="I13" s="93" t="str"/>
    </x:row>
    <x:row r="14">
      <x:c r="A14" s="168" t="n">
        <x:v>10</x:v>
      </x:c>
      <x:c r="B14" s="93" t="str">
        <x:v>Part 2 Anna-pipeline recovery is a new decision, not a correction.</x:v>
      </x:c>
      <x:c r="C14" s="93" t="str">
        <x:v>Management</x:v>
      </x:c>
      <x:c r="D14" s="93" t="str">
        <x:v>03 Sales Director Plan · 6–8 week cycle; 06 HR and Personnel Plan · Anna exit</x:v>
      </x:c>
      <x:c r="E14" s="93" t="str">
        <x:v>Recovery requires handover and customer acceptance.</x:v>
      </x:c>
      <x:c r="F14" s="171" t="str">
        <x:v>Revenue: +€70,000; direct costs: -€7,000</x:v>
      </x:c>
      <x:c r="G14" s="93" t="str">
        <x:v>Decision</x:v>
      </x:c>
      <x:c r="H14" s="93" t="str">
        <x:v>Start in June after an eight-week handover; recognize €10,000 per month June–December only as a management target.</x:v>
      </x:c>
      <x:c r="I14" s="93" t="str"/>
    </x:row>
    <x:row r="15">
      <x:c r="A15" s="168" t="n">
        <x:v>11</x:v>
      </x:c>
      <x:c r="B15" s="93" t="str">
        <x:v>Internal senior instructor capacity is used before external trainers.</x:v>
      </x:c>
      <x:c r="C15" s="93" t="str">
        <x:v>Operations / Finance</x:v>
      </x:c>
      <x:c r="D15" s="93" t="str">
        <x:v>05 Operations and Trainer Plan · capacity rules; 07 Finance · €700/€770 rates</x:v>
      </x:c>
      <x:c r="E15" s="93" t="str">
        <x:v>This changes the cost treatment of the register.</x:v>
      </x:c>
      <x:c r="F15" s="171" t="str">
        <x:v>Direct costs: +€28,630</x:v>
      </x:c>
      <x:c r="G15" s="93" t="str">
        <x:v>Decision</x:v>
      </x:c>
      <x:c r="H15" s="93" t="str">
        <x:v>Use available internal capacity for the named register; confirm delivery allocation monthly before avoiding external bookings.</x:v>
      </x:c>
      <x:c r="I15" s="93" t="str"/>
    </x:row>
    <x:row r="16">
      <x:c r="A16" s="168" t="n">
        <x:v>12</x:v>
      </x:c>
      <x:c r="B16" s="93" t="str">
        <x:v>Marketing reallocation has no assumed revenue uplift yet.</x:v>
      </x:c>
      <x:c r="C16" s="93" t="str">
        <x:v>Marketing</x:v>
      </x:c>
      <x:c r="D16" s="93" t="str">
        <x:v>04 Marketing Director Plan · untested conversion rate; 07 Draft Operating Costs!D11:O11</x:v>
      </x:c>
      <x:c r="E16" s="93" t="str">
        <x:v>The new conversion rate has not been tested.</x:v>
      </x:c>
      <x:c r="F16" s="171" t="str">
        <x:v>No immediate P&amp;L effect</x:v>
      </x:c>
      <x:c r="G16" s="93" t="str">
        <x:v>Decision</x:v>
      </x:c>
      <x:c r="H16" s="93" t="str">
        <x:v>Shift channel mix from April, but only add revenue after enquiries and conversion evidence are observed.</x:v>
      </x:c>
      <x:c r="I16" s="93" t="str"/>
    </x:row>
    <x:row r="17">
      <x:c r="B17" s="92"/>
      <x:c r="C17" s="93"/>
      <x:c r="D17" s="93"/>
      <x:c r="E17" s="93"/>
      <x:c r="F17" s="93"/>
      <x:c r="G17" s="93"/>
      <x:c r="H17" s="93"/>
      <x:c r="I17" s="93" t="str"/>
    </x:row>
    <x:row r="18">
      <x:c r="B18" s="92"/>
      <x:c r="C18" s="93"/>
      <x:c r="D18" s="93"/>
      <x:c r="E18" s="93"/>
      <x:c r="F18" s="93"/>
      <x:c r="G18" s="93"/>
      <x:c r="H18" s="93"/>
      <x:c r="I18" s="93" t="str"/>
    </x:row>
    <x:row r="19">
      <x:c r="B19" s="92"/>
      <x:c r="C19" s="93"/>
      <x:c r="D19" s="93"/>
      <x:c r="E19" s="93"/>
      <x:c r="F19" s="93"/>
      <x:c r="G19" s="93"/>
      <x:c r="H19" s="93"/>
      <x:c r="I19" s="93" t="str"/>
    </x:row>
    <x:row r="20">
      <x:c r="B20" s="92"/>
      <x:c r="C20" s="93"/>
      <x:c r="D20" s="93"/>
      <x:c r="E20" s="93"/>
      <x:c r="F20" s="93"/>
      <x:c r="G20" s="93"/>
      <x:c r="H20" s="93"/>
      <x:c r="I20" s="93" t="str"/>
    </x:row>
    <x:row r="21">
      <x:c r="B21" s="92"/>
      <x:c r="C21" s="93"/>
      <x:c r="D21" s="93"/>
      <x:c r="E21" s="93"/>
      <x:c r="F21" s="93"/>
      <x:c r="G21" s="93"/>
      <x:c r="H21" s="93"/>
      <x:c r="I21" s="93" t="str"/>
    </x:row>
    <x:row r="22">
      <x:c r="B22" s="92"/>
      <x:c r="C22" s="93"/>
      <x:c r="D22" s="93"/>
      <x:c r="E22" s="93"/>
      <x:c r="F22" s="93"/>
      <x:c r="G22" s="93"/>
      <x:c r="H22" s="93"/>
      <x:c r="I22" s="93" t="str"/>
    </x:row>
    <x:row r="23">
      <x:c r="B23" s="92"/>
      <x:c r="C23" s="93"/>
      <x:c r="D23" s="93"/>
      <x:c r="E23" s="93"/>
      <x:c r="F23" s="93"/>
      <x:c r="G23" s="93"/>
      <x:c r="H23" s="93"/>
      <x:c r="I23" s="93" t="str"/>
    </x:row>
    <x:row r="24">
      <x:c r="B24" s="92"/>
      <x:c r="C24" s="93"/>
      <x:c r="D24" s="93"/>
      <x:c r="E24" s="93"/>
      <x:c r="F24" s="93"/>
      <x:c r="G24" s="93"/>
      <x:c r="H24" s="93"/>
      <x:c r="I24" s="93" t="str"/>
    </x:row>
    <x:row r="25">
      <x:c r="B25" s="92"/>
      <x:c r="C25" s="93" t="str"/>
      <x:c r="D25" s="93" t="str"/>
      <x:c r="E25" s="93" t="str"/>
      <x:c r="F25" s="93" t="str"/>
      <x:c r="G25" s="93" t="str"/>
      <x:c r="H25" s="93" t="str"/>
      <x:c r="I25" s="93" t="str"/>
    </x:row>
    <x:row r="26">
      <x:c r="B26" s="92"/>
      <x:c r="C26" s="93" t="str"/>
      <x:c r="D26" s="93" t="str"/>
      <x:c r="E26" s="93" t="str"/>
      <x:c r="F26" s="93" t="str"/>
      <x:c r="G26" s="93" t="str"/>
      <x:c r="H26" s="93" t="str"/>
      <x:c r="I26" s="93" t="str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44" hidden="0" customWidth="1"/>
    <x:col min="3" max="3" width="21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</x:cols>
  <x:sheetData>
    <x:row r="1">
      <x:c r="A1" s="172" t="str">
        <x:v>Part 1 Red Pencil Correction</x:v>
      </x:c>
      <x:c r="B1" s="13"/>
      <x:c r="C1" s="13"/>
      <x:c r="D1" s="13"/>
      <x:c r="E1" s="13"/>
      <x:c r="F1" s="13"/>
      <x:c r="G1" s="13"/>
      <x:c r="H1" s="13"/>
      <x:c r="I1" s="13"/>
      <x:c r="J1" s="13"/>
      <x:c r="K1" s="13"/>
      <x:c r="L1" s="13"/>
      <x:c r="M1" s="13"/>
      <x:c r="N1" s="13"/>
      <x:c r="O1" s="13"/>
      <x:c r="P1" s="13"/>
    </x:row>
    <x:row r="2">
      <x:c r="A2" s="164" t="str">
        <x:v>Conservative, evidence-supported delivery baseline. Existing decisions are corrected; no new commercial action is included.</x:v>
      </x:c>
      <x:c r="B2" s="24"/>
      <x:c r="C2" s="25"/>
      <x:c r="D2" s="25"/>
      <x:c r="E2" s="25"/>
      <x:c r="F2" s="25"/>
      <x:c r="G2" s="25"/>
      <x:c r="H2" s="25"/>
      <x:c r="I2" s="25"/>
      <x:c r="J2" s="25"/>
      <x:c r="K2" s="25"/>
      <x:c r="L2" s="25"/>
      <x:c r="M2" s="25"/>
      <x:c r="N2" s="25"/>
      <x:c r="O2" s="25"/>
      <x:c r="P2" s="25"/>
    </x:row>
    <x:row r="3">
      <x:c r="B3" s="26" t="str">
        <x:v>What would the monthly result be if management kept its existing decisions? Correct the estimates, not the business plan.</x:v>
      </x:c>
      <x:c r="C3" s="26"/>
      <x:c r="D3" s="26"/>
      <x:c r="E3" s="26"/>
      <x:c r="F3" s="26"/>
      <x:c r="G3" s="26"/>
      <x:c r="H3" s="26"/>
      <x:c r="I3" s="26"/>
      <x:c r="J3" s="26"/>
      <x:c r="K3" s="26"/>
      <x:c r="L3" s="26"/>
      <x:c r="M3" s="26"/>
      <x:c r="N3" s="26"/>
      <x:c r="O3" s="26"/>
      <x:c r="P3" s="26"/>
    </x:row>
    <x:row r="4">
      <x:c r="A4" s="166"/>
      <x:c r="B4" s="166"/>
      <x:c r="C4" s="166"/>
      <x:c r="D4" s="193" t="str">
        <x:v>Jan</x:v>
      </x:c>
      <x:c r="E4" s="193" t="str">
        <x:v>Feb</x:v>
      </x:c>
      <x:c r="F4" s="193" t="str">
        <x:v>Mar</x:v>
      </x:c>
      <x:c r="G4" s="193" t="str">
        <x:v>Apr</x:v>
      </x:c>
      <x:c r="H4" s="193" t="str">
        <x:v>May</x:v>
      </x:c>
      <x:c r="I4" s="193" t="str">
        <x:v>Jun</x:v>
      </x:c>
      <x:c r="J4" s="193" t="str">
        <x:v>Jul</x:v>
      </x:c>
      <x:c r="K4" s="193" t="str">
        <x:v>Aug</x:v>
      </x:c>
      <x:c r="L4" s="193" t="str">
        <x:v>Sep</x:v>
      </x:c>
      <x:c r="M4" s="193" t="str">
        <x:v>Oct</x:v>
      </x:c>
      <x:c r="N4" s="193" t="str">
        <x:v>Nov</x:v>
      </x:c>
      <x:c r="O4" s="193" t="str">
        <x:v>Dec</x:v>
      </x:c>
      <x:c r="P4" s="193" t="str">
        <x:v>FY Total</x:v>
      </x:c>
    </x:row>
    <x:row r="5" ht="23" customHeight="1">
      <x:c r="A5" s="166"/>
      <x:c r="B5" s="194" t="str">
        <x:v>Named events after corrections</x:v>
      </x:c>
      <x:c r="C5" s="194"/>
      <x:c r="D5" s="195" t="n">
        <x:f>C28</x:f>
        <x:v>8600</x:v>
      </x:c>
      <x:c r="E5" s="195" t="n">
        <x:f>D28</x:f>
        <x:v>12700</x:v>
      </x:c>
      <x:c r="F5" s="195" t="n">
        <x:f>E28</x:f>
        <x:v>15000</x:v>
      </x:c>
      <x:c r="G5" s="195" t="n">
        <x:f>F28</x:f>
        <x:v>12050</x:v>
      </x:c>
      <x:c r="H5" s="195" t="n">
        <x:f>G28</x:f>
        <x:v>13300</x:v>
      </x:c>
      <x:c r="I5" s="195" t="n">
        <x:f>H28</x:f>
        <x:v>12750</x:v>
      </x:c>
      <x:c r="J5" s="195" t="n">
        <x:f>I28</x:f>
        <x:v>2500</x:v>
      </x:c>
      <x:c r="K5" s="195" t="n">
        <x:f>J28</x:f>
        <x:v>9000</x:v>
      </x:c>
      <x:c r="L5" s="195" t="n">
        <x:f>K28</x:f>
        <x:v>17000</x:v>
      </x:c>
      <x:c r="M5" s="195" t="n">
        <x:f>L28</x:f>
        <x:v>19450</x:v>
      </x:c>
      <x:c r="N5" s="195" t="n">
        <x:f>M28</x:f>
        <x:v>16800</x:v>
      </x:c>
      <x:c r="O5" s="195" t="n">
        <x:f>N28</x:f>
        <x:v>7500</x:v>
      </x:c>
      <x:c r="P5" s="195" t="n">
        <x:f>SUM(D5:O5)</x:f>
        <x:v>146650</x:v>
      </x:c>
    </x:row>
    <x:row r="6">
      <x:c r="A6" s="166"/>
      <x:c r="B6" s="167" t="str">
        <x:v>Programme costs after rate and event adjustments</x:v>
      </x:c>
      <x:c r="C6" s="167" t="str">
        <x:v>Evidence / calculation</x:v>
      </x:c>
      <x:c r="D6" s="170" t="n">
        <x:f>C29</x:f>
        <x:v>-4000</x:v>
      </x:c>
      <x:c r="E6" s="170" t="n">
        <x:f>D29</x:f>
        <x:v>-5955</x:v>
      </x:c>
      <x:c r="F6" s="170" t="n">
        <x:f>E29</x:f>
        <x:v>-6250</x:v>
      </x:c>
      <x:c r="G6" s="170" t="n">
        <x:f>F29</x:f>
        <x:v>-6152.5</x:v>
      </x:c>
      <x:c r="H6" s="170" t="n">
        <x:f>G29</x:f>
        <x:v>-4805</x:v>
      </x:c>
      <x:c r="I6" s="170" t="n">
        <x:f>H29</x:f>
        <x:v>-8025</x:v>
      </x:c>
      <x:c r="J6" s="170" t="n">
        <x:f>I29</x:f>
        <x:v>-1195</x:v>
      </x:c>
      <x:c r="K6" s="170" t="n">
        <x:f>J29</x:f>
        <x:v>-4760</x:v>
      </x:c>
      <x:c r="L6" s="170" t="n">
        <x:f>K29</x:f>
        <x:v>-6735</x:v>
      </x:c>
      <x:c r="M6" s="170" t="n">
        <x:f>L29</x:f>
        <x:v>-8865</x:v>
      </x:c>
      <x:c r="N6" s="170" t="n">
        <x:f>M29</x:f>
        <x:v>-8090</x:v>
      </x:c>
      <x:c r="O6" s="170" t="n">
        <x:f>N29</x:f>
        <x:v>-4035</x:v>
      </x:c>
      <x:c r="P6" s="170" t="n">
        <x:f>SUM(D6:O6)</x:f>
        <x:v>-68867.5</x:v>
      </x:c>
    </x:row>
    <x:row r="7">
      <x:c r="A7" s="166"/>
      <x:c r="B7" s="166" t="str">
        <x:v>Contribution</x:v>
      </x:c>
      <x:c r="C7" s="93" t="str"/>
      <x:c r="D7" s="171" t="n">
        <x:f>SUM(D5:D6)</x:f>
        <x:v>4600</x:v>
      </x:c>
      <x:c r="E7" s="171" t="n">
        <x:f>SUM(E5:E6)</x:f>
        <x:v>6745</x:v>
      </x:c>
      <x:c r="F7" s="171" t="n">
        <x:f>SUM(F5:F6)</x:f>
        <x:v>8750</x:v>
      </x:c>
      <x:c r="G7" s="171" t="n">
        <x:f>SUM(G5:G6)</x:f>
        <x:v>5897.5</x:v>
      </x:c>
      <x:c r="H7" s="171" t="n">
        <x:f>SUM(H5:H6)</x:f>
        <x:v>8495</x:v>
      </x:c>
      <x:c r="I7" s="171" t="n">
        <x:f>SUM(I5:I6)</x:f>
        <x:v>4725</x:v>
      </x:c>
      <x:c r="J7" s="171" t="n">
        <x:f>SUM(J5:J6)</x:f>
        <x:v>1305</x:v>
      </x:c>
      <x:c r="K7" s="171" t="n">
        <x:f>SUM(K5:K6)</x:f>
        <x:v>4240</x:v>
      </x:c>
      <x:c r="L7" s="171" t="n">
        <x:f>SUM(L5:L6)</x:f>
        <x:v>10265</x:v>
      </x:c>
      <x:c r="M7" s="171" t="n">
        <x:f>SUM(M5:M6)</x:f>
        <x:v>10585</x:v>
      </x:c>
      <x:c r="N7" s="171" t="n">
        <x:f>SUM(N5:N6)</x:f>
        <x:v>8710</x:v>
      </x:c>
      <x:c r="O7" s="171" t="n">
        <x:f>SUM(O5:O6)</x:f>
        <x:v>3465</x:v>
      </x:c>
      <x:c r="P7" s="190" t="n">
        <x:f>SUM(D7:O7)</x:f>
        <x:v>77782.5</x:v>
      </x:c>
    </x:row>
    <x:row r="8">
      <x:c r="A8" s="166"/>
      <x:c r="B8" s="166" t="str">
        <x:v>Contribution margin</x:v>
      </x:c>
      <x:c r="C8" s="93" t="str"/>
      <x:c r="D8" s="191" t="n">
        <x:f>IFERROR(D7/D5,0)</x:f>
        <x:v>0.5348837209302325</x:v>
      </x:c>
      <x:c r="E8" s="191" t="n">
        <x:f>IFERROR(E7/E5,0)</x:f>
        <x:v>0.5311023622047244</x:v>
      </x:c>
      <x:c r="F8" s="191" t="n">
        <x:f>IFERROR(F7/F5,0)</x:f>
        <x:v>0.5833333333333334</x:v>
      </x:c>
      <x:c r="G8" s="191" t="n">
        <x:f>IFERROR(G7/G5,0)</x:f>
        <x:v>0.48941908713692944</x:v>
      </x:c>
      <x:c r="H8" s="191" t="n">
        <x:f>IFERROR(H7/H5,0)</x:f>
        <x:v>0.6387218045112782</x:v>
      </x:c>
      <x:c r="I8" s="191" t="n">
        <x:f>IFERROR(I7/I5,0)</x:f>
        <x:v>0.37058823529411766</x:v>
      </x:c>
      <x:c r="J8" s="191" t="n">
        <x:f>IFERROR(J7/J5,0)</x:f>
        <x:v>0.522</x:v>
      </x:c>
      <x:c r="K8" s="191" t="n">
        <x:f>IFERROR(K7/K5,0)</x:f>
        <x:v>0.4711111111111111</x:v>
      </x:c>
      <x:c r="L8" s="191" t="n">
        <x:f>IFERROR(L7/L5,0)</x:f>
        <x:v>0.6038235294117648</x:v>
      </x:c>
      <x:c r="M8" s="191" t="n">
        <x:f>IFERROR(M7/M5,0)</x:f>
        <x:v>0.5442159383033419</x:v>
      </x:c>
      <x:c r="N8" s="191" t="n">
        <x:f>IFERROR(N7/N5,0)</x:f>
        <x:v>0.518452380952381</x:v>
      </x:c>
      <x:c r="O8" s="191" t="n">
        <x:f>IFERROR(O7/O5,0)</x:f>
        <x:v>0.462</x:v>
      </x:c>
      <x:c r="P8" s="192" t="n">
        <x:f>IFERROR(P7/P5,0)</x:f>
        <x:v>0.5303954994885782</x:v>
      </x:c>
    </x:row>
    <x:row r="9">
      <x:c r="A9" s="166"/>
      <x:c r="B9" s="166" t="str">
        <x:v>Existing operating costs after timing corrections</x:v>
      </x:c>
      <x:c r="C9" s="93" t="str"/>
      <x:c r="D9" s="190" t="n">
        <x:f>C30</x:f>
        <x:v>-24725</x:v>
      </x:c>
      <x:c r="E9" s="190" t="n">
        <x:f>D30</x:f>
        <x:v>-24225</x:v>
      </x:c>
      <x:c r="F9" s="190" t="n">
        <x:f>E30</x:f>
        <x:v>-21975</x:v>
      </x:c>
      <x:c r="G9" s="190" t="n">
        <x:f>F30</x:f>
        <x:v>-23275</x:v>
      </x:c>
      <x:c r="H9" s="190" t="n">
        <x:f>G30</x:f>
        <x:v>-23641.67</x:v>
      </x:c>
      <x:c r="I9" s="190" t="n">
        <x:f>H30</x:f>
        <x:v>-23141.67</x:v>
      </x:c>
      <x:c r="J9" s="190" t="n">
        <x:f>I30</x:f>
        <x:v>-21641.67</x:v>
      </x:c>
      <x:c r="K9" s="190" t="n">
        <x:f>J30</x:f>
        <x:v>-22641.67</x:v>
      </x:c>
      <x:c r="L9" s="190" t="n">
        <x:f>K30</x:f>
        <x:v>-25141.67</x:v>
      </x:c>
      <x:c r="M9" s="190" t="n">
        <x:f>L30</x:f>
        <x:v>-25641.67</x:v>
      </x:c>
      <x:c r="N9" s="190" t="n">
        <x:f>M30</x:f>
        <x:v>-24641.67</x:v>
      </x:c>
      <x:c r="O9" s="190" t="n">
        <x:f>N30</x:f>
        <x:v>-23141.67</x:v>
      </x:c>
      <x:c r="P9" s="190" t="n">
        <x:f>SUM(D9:O9)</x:f>
        <x:v>-283833.3599999999</x:v>
      </x:c>
    </x:row>
    <x:row r="10">
      <x:c r="A10" s="166"/>
      <x:c r="B10" s="166" t="str">
        <x:v>Operating profit</x:v>
      </x:c>
      <x:c r="C10" s="93" t="str"/>
      <x:c r="D10" s="190" t="n">
        <x:f>SUM(D7,D9)</x:f>
        <x:v>-20125</x:v>
      </x:c>
      <x:c r="E10" s="190" t="n">
        <x:f>SUM(E7,E9)</x:f>
        <x:v>-17480</x:v>
      </x:c>
      <x:c r="F10" s="190" t="n">
        <x:f>SUM(F7,F9)</x:f>
        <x:v>-13225</x:v>
      </x:c>
      <x:c r="G10" s="190" t="n">
        <x:f>SUM(G7,G9)</x:f>
        <x:v>-17377.5</x:v>
      </x:c>
      <x:c r="H10" s="190" t="n">
        <x:f>SUM(H7,H9)</x:f>
        <x:v>-15146.669999999998</x:v>
      </x:c>
      <x:c r="I10" s="190" t="n">
        <x:f>SUM(I7,I9)</x:f>
        <x:v>-18416.67</x:v>
      </x:c>
      <x:c r="J10" s="190" t="n">
        <x:f>SUM(J7,J9)</x:f>
        <x:v>-20336.67</x:v>
      </x:c>
      <x:c r="K10" s="190" t="n">
        <x:f>SUM(K7,K9)</x:f>
        <x:v>-18401.67</x:v>
      </x:c>
      <x:c r="L10" s="190" t="n">
        <x:f>SUM(L7,L9)</x:f>
        <x:v>-14876.669999999998</x:v>
      </x:c>
      <x:c r="M10" s="190" t="n">
        <x:f>SUM(M7,M9)</x:f>
        <x:v>-15056.669999999998</x:v>
      </x:c>
      <x:c r="N10" s="190" t="n">
        <x:f>SUM(N7,N9)</x:f>
        <x:v>-15931.669999999998</x:v>
      </x:c>
      <x:c r="O10" s="190" t="n">
        <x:f>SUM(O7,O9)</x:f>
        <x:v>-19676.67</x:v>
      </x:c>
      <x:c r="P10" s="190" t="n">
        <x:f>SUM(D10:O10)</x:f>
        <x:v>-206050.85999999993</x:v>
      </x:c>
    </x:row>
    <x:row r="11">
      <x:c r="A11" s="166"/>
      <x:c r="B11" s="166" t="str">
        <x:v>Operating margin</x:v>
      </x:c>
      <x:c r="C11" s="93" t="str"/>
      <x:c r="D11" s="191" t="n">
        <x:f>IFERROR(D10/D5,0)</x:f>
        <x:v>-2.3401162790697674</x:v>
      </x:c>
      <x:c r="E11" s="191" t="n">
        <x:f>IFERROR(E10/E5,0)</x:f>
        <x:v>-1.3763779527559055</x:v>
      </x:c>
      <x:c r="F11" s="191" t="n">
        <x:f>IFERROR(F10/F5,0)</x:f>
        <x:v>-0.8816666666666667</x:v>
      </x:c>
      <x:c r="G11" s="191" t="n">
        <x:f>IFERROR(G10/G5,0)</x:f>
        <x:v>-1.442116182572614</x:v>
      </x:c>
      <x:c r="H11" s="191" t="n">
        <x:f>IFERROR(H10/H5,0)</x:f>
        <x:v>-1.1388473684210525</x:v>
      </x:c>
      <x:c r="I11" s="191" t="n">
        <x:f>IFERROR(I10/I5,0)</x:f>
        <x:v>-1.4444447058823529</x:v>
      </x:c>
      <x:c r="J11" s="191" t="n">
        <x:f>IFERROR(J10/J5,0)</x:f>
        <x:v>-8.134668</x:v>
      </x:c>
      <x:c r="K11" s="191" t="n">
        <x:f>IFERROR(K10/K5,0)</x:f>
        <x:v>-2.0446299999999997</x:v>
      </x:c>
      <x:c r="L11" s="191" t="n">
        <x:f>IFERROR(L10/L5,0)</x:f>
        <x:v>-0.8750982352941176</x:v>
      </x:c>
      <x:c r="M11" s="191" t="n">
        <x:f>IFERROR(M10/M5,0)</x:f>
        <x:v>-0.7741218508997428</x:v>
      </x:c>
      <x:c r="N11" s="191" t="n">
        <x:f>IFERROR(N10/N5,0)</x:f>
        <x:v>-0.9483136904761904</x:v>
      </x:c>
      <x:c r="O11" s="191" t="n">
        <x:f>IFERROR(O10/O5,0)</x:f>
        <x:v>-2.6235559999999998</x:v>
      </x:c>
      <x:c r="P11" s="192" t="n">
        <x:f>IFERROR(P10/P5,0)</x:f>
        <x:v>-1.4050518922604835</x:v>
      </x:c>
    </x:row>
    <x:row r="12">
      <x:c r="A12" s="166"/>
      <x:c r="B12" s="166" t="str">
        <x:v>Trainer days required</x:v>
      </x:c>
      <x:c r="C12" s="93" t="str"/>
      <x:c r="D12" s="190" t="n">
        <x:f>SUMIF('06 Draft Program Plan'!$B$7:$B$32,D$4,'06 Draft Program Plan'!$F$7:$F$32)</x:f>
        <x:v>0</x:v>
      </x:c>
      <x:c r="E12" s="190" t="n">
        <x:f>SUMIF('06 Draft Program Plan'!$B$7:$B$32,E$4,'06 Draft Program Plan'!$F$7:$F$32)</x:f>
        <x:v>0</x:v>
      </x:c>
      <x:c r="F12" s="190" t="n">
        <x:f>SUMIF('06 Draft Program Plan'!$B$7:$B$32,F$4,'06 Draft Program Plan'!$F$7:$F$32)</x:f>
        <x:v>0</x:v>
      </x:c>
      <x:c r="G12" s="190" t="n">
        <x:f>SUMIF('06 Draft Program Plan'!$B$7:$B$32,G$4,'06 Draft Program Plan'!$F$7:$F$32)</x:f>
        <x:v>0</x:v>
      </x:c>
      <x:c r="H12" s="190" t="n">
        <x:f>SUMIF('06 Draft Program Plan'!$B$7:$B$32,H$4,'06 Draft Program Plan'!$F$7:$F$32)</x:f>
        <x:v>0</x:v>
      </x:c>
      <x:c r="I12" s="190" t="n">
        <x:f>SUMIF('06 Draft Program Plan'!$B$7:$B$32,I$4,'06 Draft Program Plan'!$F$7:$F$32)</x:f>
        <x:v>0</x:v>
      </x:c>
      <x:c r="J12" s="190" t="n">
        <x:f>SUMIF('06 Draft Program Plan'!$B$7:$B$32,J$4,'06 Draft Program Plan'!$F$7:$F$32)</x:f>
        <x:v>0</x:v>
      </x:c>
      <x:c r="K12" s="190" t="n">
        <x:f>SUMIF('06 Draft Program Plan'!$B$7:$B$32,K$4,'06 Draft Program Plan'!$F$7:$F$32)</x:f>
        <x:v>0</x:v>
      </x:c>
      <x:c r="L12" s="190" t="n">
        <x:f>SUMIF('06 Draft Program Plan'!$B$7:$B$32,L$4,'06 Draft Program Plan'!$F$7:$F$32)</x:f>
        <x:v>0</x:v>
      </x:c>
      <x:c r="M12" s="190" t="n">
        <x:f>SUMIF('06 Draft Program Plan'!$B$7:$B$32,M$4,'06 Draft Program Plan'!$F$7:$F$32)</x:f>
        <x:v>0</x:v>
      </x:c>
      <x:c r="N12" s="190" t="n">
        <x:f>SUMIF('06 Draft Program Plan'!$B$7:$B$32,N$4,'06 Draft Program Plan'!$F$7:$F$32)</x:f>
        <x:v>0</x:v>
      </x:c>
      <x:c r="O12" s="190" t="n">
        <x:f>SUMIF('06 Draft Program Plan'!$B$7:$B$32,O$4,'06 Draft Program Plan'!$F$7:$F$32)</x:f>
        <x:v>0</x:v>
      </x:c>
      <x:c r="P12" s="190" t="n">
        <x:f>SUM(D12:O12)</x:f>
        <x:v>0</x:v>
      </x:c>
    </x:row>
    <x:row r="13">
      <x:c r="A13" s="166"/>
      <x:c r="B13" s="166" t="str">
        <x:v>Open seats sold</x:v>
      </x:c>
      <x:c r="C13" s="93" t="str"/>
      <x:c r="D13" s="190" t="n">
        <x:f>SUMIFS('06 Draft Program Plan'!$G$7:$G$32,'06 Draft Program Plan'!$B$7:$B$32,D$4,'06 Draft Program Plan'!$E$7:$E$32,"Open")</x:f>
        <x:v>0</x:v>
      </x:c>
      <x:c r="E13" s="190" t="n">
        <x:f>SUMIFS('06 Draft Program Plan'!$G$7:$G$32,'06 Draft Program Plan'!$B$7:$B$32,E$4,'06 Draft Program Plan'!$E$7:$E$32,"Open")</x:f>
        <x:v>0</x:v>
      </x:c>
      <x:c r="F13" s="190" t="n">
        <x:f>SUMIFS('06 Draft Program Plan'!$G$7:$G$32,'06 Draft Program Plan'!$B$7:$B$32,F$4,'06 Draft Program Plan'!$E$7:$E$32,"Open")</x:f>
        <x:v>0</x:v>
      </x:c>
      <x:c r="G13" s="190" t="n">
        <x:f>SUMIFS('06 Draft Program Plan'!$G$7:$G$32,'06 Draft Program Plan'!$B$7:$B$32,G$4,'06 Draft Program Plan'!$E$7:$E$32,"Open")</x:f>
        <x:v>0</x:v>
      </x:c>
      <x:c r="H13" s="190" t="n">
        <x:f>SUMIFS('06 Draft Program Plan'!$G$7:$G$32,'06 Draft Program Plan'!$B$7:$B$32,H$4,'06 Draft Program Plan'!$E$7:$E$32,"Open")</x:f>
        <x:v>0</x:v>
      </x:c>
      <x:c r="I13" s="190" t="n">
        <x:f>SUMIFS('06 Draft Program Plan'!$G$7:$G$32,'06 Draft Program Plan'!$B$7:$B$32,I$4,'06 Draft Program Plan'!$E$7:$E$32,"Open")</x:f>
        <x:v>0</x:v>
      </x:c>
      <x:c r="J13" s="190" t="n">
        <x:f>SUMIFS('06 Draft Program Plan'!$G$7:$G$32,'06 Draft Program Plan'!$B$7:$B$32,J$4,'06 Draft Program Plan'!$E$7:$E$32,"Open")</x:f>
        <x:v>0</x:v>
      </x:c>
      <x:c r="K13" s="190" t="n">
        <x:f>SUMIFS('06 Draft Program Plan'!$G$7:$G$32,'06 Draft Program Plan'!$B$7:$B$32,K$4,'06 Draft Program Plan'!$E$7:$E$32,"Open")</x:f>
        <x:v>0</x:v>
      </x:c>
      <x:c r="L13" s="190" t="n">
        <x:f>SUMIFS('06 Draft Program Plan'!$G$7:$G$32,'06 Draft Program Plan'!$B$7:$B$32,L$4,'06 Draft Program Plan'!$E$7:$E$32,"Open")</x:f>
        <x:v>0</x:v>
      </x:c>
      <x:c r="M13" s="190" t="n">
        <x:f>SUMIFS('06 Draft Program Plan'!$G$7:$G$32,'06 Draft Program Plan'!$B$7:$B$32,M$4,'06 Draft Program Plan'!$E$7:$E$32,"Open")</x:f>
        <x:v>0</x:v>
      </x:c>
      <x:c r="N13" s="190" t="n">
        <x:f>SUMIFS('06 Draft Program Plan'!$G$7:$G$32,'06 Draft Program Plan'!$B$7:$B$32,N$4,'06 Draft Program Plan'!$E$7:$E$32,"Open")</x:f>
        <x:v>0</x:v>
      </x:c>
      <x:c r="O13" s="190" t="n">
        <x:f>SUMIFS('06 Draft Program Plan'!$G$7:$G$32,'06 Draft Program Plan'!$B$7:$B$32,O$4,'06 Draft Program Plan'!$E$7:$E$32,"Open")</x:f>
        <x:v>0</x:v>
      </x:c>
      <x:c r="P13" s="190" t="n">
        <x:f>SUM(D13:O13)</x:f>
        <x:v>0</x:v>
      </x:c>
    </x:row>
    <x:row r="14">
      <x:c r="B14" s="27"/>
      <x:c r="C14" s="92"/>
      <x:c r="D14" s="122"/>
      <x:c r="E14" s="122"/>
      <x:c r="F14" s="122"/>
      <x:c r="G14" s="122"/>
      <x:c r="H14" s="122"/>
      <x:c r="I14" s="122"/>
      <x:c r="J14" s="122"/>
      <x:c r="K14" s="122"/>
      <x:c r="L14" s="122"/>
      <x:c r="M14" s="122"/>
      <x:c r="N14" s="122"/>
      <x:c r="O14" s="122"/>
      <x:c r="P14" s="123"/>
    </x:row>
    <x:row r="15">
      <x:c r="B15" s="27"/>
      <x:c r="C15" s="92"/>
      <x:c r="D15" s="122"/>
      <x:c r="E15" s="122"/>
      <x:c r="F15" s="122"/>
      <x:c r="G15" s="122"/>
      <x:c r="H15" s="122"/>
      <x:c r="I15" s="122"/>
      <x:c r="J15" s="122"/>
      <x:c r="K15" s="122"/>
      <x:c r="L15" s="122"/>
      <x:c r="M15" s="122"/>
      <x:c r="N15" s="122"/>
      <x:c r="O15" s="122"/>
      <x:c r="P15" s="123"/>
    </x:row>
    <x:row r="16">
      <x:c r="A16" s="200" t="str">
        <x:v>Supporting calculations</x:v>
      </x:c>
      <x:c r="B16" s="200" t="str"/>
      <x:c r="C16" s="200" t="str"/>
      <x:c r="D16" s="200" t="str"/>
      <x:c r="E16" s="200" t="str"/>
      <x:c r="F16" s="200" t="str"/>
      <x:c r="G16" s="200" t="str"/>
      <x:c r="H16" s="200" t="str"/>
    </x:row>
    <x:row r="17" ht="24" customHeight="1">
      <x:c r="A17" s="203" t="str">
        <x:v>Line</x:v>
      </x:c>
      <x:c r="B17" s="204" t="str">
        <x:v>Source / rule</x:v>
      </x:c>
      <x:c r="C17" s="204" t="str">
        <x:v>Jan</x:v>
      </x:c>
      <x:c r="D17" s="204" t="str">
        <x:v>Feb</x:v>
      </x:c>
      <x:c r="E17" s="204" t="str">
        <x:v>Mar</x:v>
      </x:c>
      <x:c r="F17" s="204" t="str">
        <x:v>Apr</x:v>
      </x:c>
      <x:c r="G17" s="204" t="str">
        <x:v>May</x:v>
      </x:c>
      <x:c r="H17" s="204" t="str">
        <x:v>Jun</x:v>
      </x:c>
      <x:c r="I17" s="204"/>
      <x:c r="J17" s="204"/>
      <x:c r="K17" s="204"/>
      <x:c r="L17" s="204"/>
      <x:c r="M17" s="204"/>
      <x:c r="N17" s="204"/>
      <x:c r="O17" s="107"/>
      <x:c r="P17" s="107"/>
    </x:row>
    <x:row r="18">
      <x:c r="A18" s="166" t="str">
        <x:v>Named programme register revenue</x:v>
      </x:c>
      <x:c r="B18" s="166" t="str">
        <x:v>06 Draft Program Plan!C7:J32</x:v>
      </x:c>
      <x:c r="C18" s="169" t="n">
        <x:v>8600</x:v>
      </x:c>
      <x:c r="D18" s="169" t="n">
        <x:v>12700</x:v>
      </x:c>
      <x:c r="E18" s="169" t="n">
        <x:v>15000</x:v>
      </x:c>
      <x:c r="F18" s="169" t="n">
        <x:v>12050</x:v>
      </x:c>
      <x:c r="G18" s="169" t="n">
        <x:v>13300</x:v>
      </x:c>
      <x:c r="H18" s="169" t="n">
        <x:v>16500</x:v>
      </x:c>
      <x:c r="I18" s="169" t="n">
        <x:v>2500</x:v>
      </x:c>
      <x:c r="J18" s="169" t="n">
        <x:v>9000</x:v>
      </x:c>
      <x:c r="K18" s="169" t="n">
        <x:v>32400</x:v>
      </x:c>
      <x:c r="L18" s="169" t="n">
        <x:v>19450</x:v>
      </x:c>
      <x:c r="M18" s="169" t="n">
        <x:v>21800</x:v>
      </x:c>
      <x:c r="N18" s="169" t="n">
        <x:v>7500</x:v>
      </x:c>
    </x:row>
    <x:row r="19">
      <x:c r="A19" s="166" t="str">
        <x:v>Anna revenue removed after 28 Feb</x:v>
      </x:c>
      <x:c r="B19" s="166" t="str">
        <x:v>06 HR and Personnel Plan · Anna exit</x:v>
      </x:c>
      <x:c r="C19" s="169" t="n">
        <x:v>0</x:v>
      </x:c>
      <x:c r="D19" s="169" t="n">
        <x:v>0</x:v>
      </x:c>
      <x:c r="E19" s="169" t="n">
        <x:v>5000</x:v>
      </x:c>
      <x:c r="F19" s="169" t="n">
        <x:v>0</x:v>
      </x:c>
      <x:c r="G19" s="169" t="n">
        <x:v>2500</x:v>
      </x:c>
      <x:c r="H19" s="169" t="n">
        <x:v>0</x:v>
      </x:c>
      <x:c r="I19" s="169" t="n">
        <x:v>0</x:v>
      </x:c>
      <x:c r="J19" s="169" t="n">
        <x:v>0</x:v>
      </x:c>
      <x:c r="K19" s="169" t="n">
        <x:v>15400</x:v>
      </x:c>
      <x:c r="L19" s="169" t="n">
        <x:v>0</x:v>
      </x:c>
      <x:c r="M19" s="169" t="n">
        <x:v>5000</x:v>
      </x:c>
      <x:c r="N19" s="169" t="n">
        <x:v>0</x:v>
      </x:c>
    </x:row>
    <x:row r="20">
      <x:c r="A20" s="166" t="str">
        <x:v>Ella ramp reduction</x:v>
      </x:c>
      <x:c r="B20" s="166" t="str">
        <x:v>06 HR and Personnel Plan · Ella ramp</x:v>
      </x:c>
      <x:c r="C20" s="169" t="n">
        <x:v>0</x:v>
      </x:c>
      <x:c r="D20" s="169" t="n">
        <x:v>0</x:v>
      </x:c>
      <x:c r="E20" s="169" t="n">
        <x:v>0</x:v>
      </x:c>
      <x:c r="F20" s="169" t="n">
        <x:v>0</x:v>
      </x:c>
      <x:c r="G20" s="169" t="n">
        <x:v>0</x:v>
      </x:c>
      <x:c r="H20" s="169" t="n">
        <x:v>3750</x:v>
      </x:c>
      <x:c r="I20" s="169" t="n">
        <x:v>0</x:v>
      </x:c>
      <x:c r="J20" s="169" t="n">
        <x:v>0</x:v>
      </x:c>
      <x:c r="K20" s="169" t="n">
        <x:v>0</x:v>
      </x:c>
      <x:c r="L20" s="169" t="n">
        <x:v>0</x:v>
      </x:c>
      <x:c r="M20" s="169" t="n">
        <x:v>0</x:v>
      </x:c>
      <x:c r="N20" s="169" t="n">
        <x:v>0</x:v>
      </x:c>
    </x:row>
    <x:row r="21">
      <x:c r="A21" s="166" t="str">
        <x:v>Register direct costs</x:v>
      </x:c>
      <x:c r="B21" s="166" t="str">
        <x:v>06 Draft Program Plan!C7:R32; rate adjustment shown below</x:v>
      </x:c>
      <x:c r="C21" s="169" t="n">
        <x:v>-4000</x:v>
      </x:c>
      <x:c r="D21" s="169" t="n">
        <x:v>-5955</x:v>
      </x:c>
      <x:c r="E21" s="169" t="n">
        <x:v>-6250</x:v>
      </x:c>
      <x:c r="F21" s="169" t="n">
        <x:v>-6152.5</x:v>
      </x:c>
      <x:c r="G21" s="169" t="n">
        <x:v>-4805</x:v>
      </x:c>
      <x:c r="H21" s="169" t="n">
        <x:v>-8025</x:v>
      </x:c>
      <x:c r="I21" s="169" t="n">
        <x:v>-1125</x:v>
      </x:c>
      <x:c r="J21" s="169" t="n">
        <x:v>-4550</x:v>
      </x:c>
      <x:c r="K21" s="169" t="n">
        <x:v>-13770</x:v>
      </x:c>
      <x:c r="L21" s="169" t="n">
        <x:v>-8497.5</x:v>
      </x:c>
      <x:c r="M21" s="169" t="n">
        <x:v>-10240</x:v>
      </x:c>
      <x:c r="N21" s="169" t="n">
        <x:v>-3825</x:v>
      </x:c>
    </x:row>
    <x:row r="22">
      <x:c r="A22" s="166" t="str">
        <x:v>Operating-cost bridge</x:v>
      </x:c>
      <x:c r="B22" s="166" t="str">
        <x:v>07 Draft Operating Costs!D21:O21; HR timing; studio depreciation</x:v>
      </x:c>
      <x:c r="C22" s="169" t="n">
        <x:v>-24725</x:v>
      </x:c>
      <x:c r="D22" s="169" t="n">
        <x:v>-24225</x:v>
      </x:c>
      <x:c r="E22" s="169" t="n">
        <x:v>-21975</x:v>
      </x:c>
      <x:c r="F22" s="169" t="n">
        <x:v>-23275</x:v>
      </x:c>
      <x:c r="G22" s="169" t="n">
        <x:v>-23225</x:v>
      </x:c>
      <x:c r="H22" s="169" t="n">
        <x:v>-22725</x:v>
      </x:c>
      <x:c r="I22" s="169" t="n">
        <x:v>-21225</x:v>
      </x:c>
      <x:c r="J22" s="169" t="n">
        <x:v>-22225</x:v>
      </x:c>
      <x:c r="K22" s="169" t="n">
        <x:v>-24725</x:v>
      </x:c>
      <x:c r="L22" s="169" t="n">
        <x:v>-25225</x:v>
      </x:c>
      <x:c r="M22" s="169" t="n">
        <x:v>-24225</x:v>
      </x:c>
      <x:c r="N22" s="169" t="n">
        <x:v>-22725</x:v>
      </x:c>
    </x:row>
    <x:row r="23">
      <x:c r="C23" s="182"/>
      <x:c r="D23" s="182"/>
      <x:c r="E23" s="182"/>
      <x:c r="F23" s="182"/>
      <x:c r="G23" s="182"/>
      <x:c r="H23" s="182"/>
      <x:c r="I23" s="182"/>
      <x:c r="J23" s="182"/>
      <x:c r="K23" s="182"/>
      <x:c r="L23" s="182"/>
      <x:c r="M23" s="182"/>
      <x:c r="N23" s="182"/>
    </x:row>
    <x:row r="24">
      <x:c r="A24" s="166" t="str">
        <x:v>Part 1 revenue bridge</x:v>
      </x:c>
      <x:c r="B24" s="166" t="str">
        <x:v>Register revenue less Anna and Ella corrections</x:v>
      </x:c>
      <x:c r="C24" s="169" t="n">
        <x:v>8600</x:v>
      </x:c>
      <x:c r="D24" s="169" t="n">
        <x:v>12700</x:v>
      </x:c>
      <x:c r="E24" s="169" t="n">
        <x:v>10000</x:v>
      </x:c>
      <x:c r="F24" s="169" t="n">
        <x:v>12050</x:v>
      </x:c>
      <x:c r="G24" s="169" t="n">
        <x:v>10800</x:v>
      </x:c>
      <x:c r="H24" s="169" t="n">
        <x:v>12750</x:v>
      </x:c>
      <x:c r="I24" s="169" t="n">
        <x:v>2500</x:v>
      </x:c>
      <x:c r="J24" s="169" t="n">
        <x:v>9000</x:v>
      </x:c>
      <x:c r="K24" s="169" t="n">
        <x:v>17000</x:v>
      </x:c>
      <x:c r="L24" s="169" t="n">
        <x:v>19450</x:v>
      </x:c>
      <x:c r="M24" s="169" t="n">
        <x:v>16800</x:v>
      </x:c>
      <x:c r="N24" s="169" t="n">
        <x:v>7500</x:v>
      </x:c>
    </x:row>
    <x:row r="25">
      <x:c r="A25" s="166" t="str">
        <x:v>Part 1 direct-cost bridge</x:v>
      </x:c>
      <x:c r="B25" s="166" t="str">
        <x:v>Register costs less removed post-exit events plus July rate effect</x:v>
      </x:c>
      <x:c r="C25" s="169" t="n">
        <x:v>0</x:v>
      </x:c>
      <x:c r="D25" s="169" t="n">
        <x:v>0</x:v>
      </x:c>
      <x:c r="E25" s="169" t="n">
        <x:v>0</x:v>
      </x:c>
      <x:c r="F25" s="169" t="n">
        <x:v>0</x:v>
      </x:c>
      <x:c r="G25" s="169" t="n">
        <x:v>0</x:v>
      </x:c>
      <x:c r="H25" s="169" t="n">
        <x:v>0</x:v>
      </x:c>
      <x:c r="I25" s="169" t="n">
        <x:v>-70</x:v>
      </x:c>
      <x:c r="J25" s="169" t="n">
        <x:v>-210</x:v>
      </x:c>
      <x:c r="K25" s="169" t="n">
        <x:v>-385</x:v>
      </x:c>
      <x:c r="L25" s="169" t="n">
        <x:v>-367.5</x:v>
      </x:c>
      <x:c r="M25" s="169" t="n">
        <x:v>-350</x:v>
      </x:c>
      <x:c r="N25" s="169" t="n">
        <x:v>-210</x:v>
      </x:c>
    </x:row>
    <x:row r="26">
      <x:c r="A26" s="166" t="str">
        <x:v>Payroll timing correction</x:v>
      </x:c>
      <x:c r="B26" s="166" t="str">
        <x:v>€2,250 monthly saving in March–April</x:v>
      </x:c>
      <x:c r="C26" s="169" t="n">
        <x:v>0</x:v>
      </x:c>
      <x:c r="D26" s="169" t="n">
        <x:v>0</x:v>
      </x:c>
      <x:c r="E26" s="169" t="n">
        <x:v>2250</x:v>
      </x:c>
      <x:c r="F26" s="169" t="n">
        <x:v>2250</x:v>
      </x:c>
      <x:c r="G26" s="169" t="n">
        <x:v>0</x:v>
      </x:c>
      <x:c r="H26" s="169" t="n">
        <x:v>0</x:v>
      </x:c>
      <x:c r="I26" s="169" t="n">
        <x:v>0</x:v>
      </x:c>
      <x:c r="J26" s="169" t="n">
        <x:v>0</x:v>
      </x:c>
      <x:c r="K26" s="169" t="n">
        <x:v>0</x:v>
      </x:c>
      <x:c r="L26" s="169" t="n">
        <x:v>0</x:v>
      </x:c>
      <x:c r="M26" s="169" t="n">
        <x:v>0</x:v>
      </x:c>
      <x:c r="N26" s="169" t="n">
        <x:v>0</x:v>
      </x:c>
    </x:row>
    <x:row r="27">
      <x:c r="A27" s="166" t="str">
        <x:v>Studio depreciation</x:v>
      </x:c>
      <x:c r="B27" s="166" t="str">
        <x:v>€25,000 / 60 months from May</x:v>
      </x:c>
      <x:c r="C27" s="169" t="n">
        <x:v>0</x:v>
      </x:c>
      <x:c r="D27" s="169" t="n">
        <x:v>0</x:v>
      </x:c>
      <x:c r="E27" s="169" t="n">
        <x:v>0</x:v>
      </x:c>
      <x:c r="F27" s="169" t="n">
        <x:v>0</x:v>
      </x:c>
      <x:c r="G27" s="169" t="n">
        <x:v>-416.67</x:v>
      </x:c>
      <x:c r="H27" s="169" t="n">
        <x:v>-416.67</x:v>
      </x:c>
      <x:c r="I27" s="169" t="n">
        <x:v>-416.67</x:v>
      </x:c>
      <x:c r="J27" s="169" t="n">
        <x:v>-416.67</x:v>
      </x:c>
      <x:c r="K27" s="169" t="n">
        <x:v>-416.67</x:v>
      </x:c>
      <x:c r="L27" s="169" t="n">
        <x:v>-416.67</x:v>
      </x:c>
      <x:c r="M27" s="169" t="n">
        <x:v>-416.67</x:v>
      </x:c>
      <x:c r="N27" s="169" t="n">
        <x:v>-416.67</x:v>
      </x:c>
    </x:row>
    <x:row r="28">
      <x:c r="A28" s="166" t="str">
        <x:v>Part 1 revenue used by P&amp;L</x:v>
      </x:c>
      <x:c r="B28" s="166" t="str">
        <x:v>Supporting calculation: corrected register bridge</x:v>
      </x:c>
      <x:c r="C28" s="169" t="n">
        <x:v>8600</x:v>
      </x:c>
      <x:c r="D28" s="169" t="n">
        <x:v>12700</x:v>
      </x:c>
      <x:c r="E28" s="169" t="n">
        <x:v>15000</x:v>
      </x:c>
      <x:c r="F28" s="169" t="n">
        <x:v>12050</x:v>
      </x:c>
      <x:c r="G28" s="169" t="n">
        <x:v>13300</x:v>
      </x:c>
      <x:c r="H28" s="169" t="n">
        <x:v>12750</x:v>
      </x:c>
      <x:c r="I28" s="169" t="n">
        <x:v>2500</x:v>
      </x:c>
      <x:c r="J28" s="169" t="n">
        <x:v>9000</x:v>
      </x:c>
      <x:c r="K28" s="169" t="n">
        <x:v>17000</x:v>
      </x:c>
      <x:c r="L28" s="169" t="n">
        <x:v>19450</x:v>
      </x:c>
      <x:c r="M28" s="169" t="n">
        <x:v>16800</x:v>
      </x:c>
      <x:c r="N28" s="169" t="n">
        <x:v>7500</x:v>
      </x:c>
    </x:row>
    <x:row r="29">
      <x:c r="A29" s="166" t="str">
        <x:v>Part 1 direct costs used by P&amp;L</x:v>
      </x:c>
      <x:c r="B29" s="166" t="str">
        <x:v>Supporting calculation: corrected register cost bridge</x:v>
      </x:c>
      <x:c r="C29" s="169" t="n">
        <x:v>-4000</x:v>
      </x:c>
      <x:c r="D29" s="169" t="n">
        <x:v>-5955</x:v>
      </x:c>
      <x:c r="E29" s="169" t="n">
        <x:v>-6250</x:v>
      </x:c>
      <x:c r="F29" s="169" t="n">
        <x:v>-6152.5</x:v>
      </x:c>
      <x:c r="G29" s="169" t="n">
        <x:v>-4805</x:v>
      </x:c>
      <x:c r="H29" s="169" t="n">
        <x:v>-8025</x:v>
      </x:c>
      <x:c r="I29" s="169" t="n">
        <x:v>-1195</x:v>
      </x:c>
      <x:c r="J29" s="169" t="n">
        <x:v>-4760</x:v>
      </x:c>
      <x:c r="K29" s="169" t="n">
        <x:v>-6735</x:v>
      </x:c>
      <x:c r="L29" s="169" t="n">
        <x:v>-8865</x:v>
      </x:c>
      <x:c r="M29" s="169" t="n">
        <x:v>-8090</x:v>
      </x:c>
      <x:c r="N29" s="169" t="n">
        <x:v>-4035</x:v>
      </x:c>
    </x:row>
    <x:row r="30">
      <x:c r="A30" s="166" t="str">
        <x:v>Part 1 operating costs used by P&amp;L</x:v>
      </x:c>
      <x:c r="B30" s="166" t="str">
        <x:v>Supporting calculation: operating-cost bridge and timing corrections</x:v>
      </x:c>
      <x:c r="C30" s="169" t="n">
        <x:v>-24725</x:v>
      </x:c>
      <x:c r="D30" s="169" t="n">
        <x:v>-24225</x:v>
      </x:c>
      <x:c r="E30" s="169" t="n">
        <x:v>-21975</x:v>
      </x:c>
      <x:c r="F30" s="169" t="n">
        <x:v>-23275</x:v>
      </x:c>
      <x:c r="G30" s="169" t="n">
        <x:v>-23641.67</x:v>
      </x:c>
      <x:c r="H30" s="169" t="n">
        <x:v>-23141.67</x:v>
      </x:c>
      <x:c r="I30" s="169" t="n">
        <x:v>-21641.67</x:v>
      </x:c>
      <x:c r="J30" s="169" t="n">
        <x:v>-22641.67</x:v>
      </x:c>
      <x:c r="K30" s="169" t="n">
        <x:v>-25141.67</x:v>
      </x:c>
      <x:c r="L30" s="169" t="n">
        <x:v>-25641.67</x:v>
      </x:c>
      <x:c r="M30" s="169" t="n">
        <x:v>-24641.67</x:v>
      </x:c>
      <x:c r="N30" s="169" t="n">
        <x:v>-23141.67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0" hidden="0" customWidth="1"/>
    <x:col min="2" max="2" width="18" hidden="0" customWidth="1"/>
    <x:col min="3" max="3" width="24" hidden="0" customWidth="1"/>
    <x:col min="4" max="4" width="26" hidden="0" customWidth="1"/>
    <x:col min="5" max="5" width="42" hidden="0" customWidth="1"/>
    <x:col min="6" max="6" width="36" hidden="0" customWidth="1"/>
    <x:col min="7" max="7" width="14" hidden="0" customWidth="1"/>
    <x:col min="8" max="8" width="44" hidden="0" customWidth="1"/>
    <x:col min="9" max="9" width="12" hidden="0" customWidth="1"/>
    <x:col min="10" max="10" width="12" hidden="0" customWidth="1"/>
  </x:cols>
  <x:sheetData>
    <x:row r="1">
      <x:c r="A1" s="172" t="str">
        <x:v>Part 2 Management Recommendation</x:v>
      </x:c>
      <x:c r="B1" s="13"/>
      <x:c r="C1" s="13"/>
      <x:c r="D1" s="13"/>
      <x:c r="E1" s="13"/>
      <x:c r="F1" s="13"/>
      <x:c r="G1" s="13"/>
      <x:c r="H1" s="13"/>
    </x:row>
    <x:row r="2">
      <x:c r="A2" s="164" t="str">
        <x:v>Approve only as a gated recovery plan unless additional supported actions close the remaining loss.</x:v>
      </x:c>
      <x:c r="B2" s="24"/>
      <x:c r="C2" s="25"/>
      <x:c r="D2" s="25"/>
      <x:c r="E2" s="25"/>
      <x:c r="F2" s="25"/>
      <x:c r="G2" s="25"/>
      <x:c r="H2" s="25"/>
      <x:c r="I2" s="25"/>
      <x:c r="J2" s="25"/>
    </x:row>
    <x:row r="3">
      <x:c r="B3" s="26" t="str">
        <x:v>State what you will change before building sheet 12. For each decision: action, starting month, cost, expected effect and basis.</x:v>
      </x:c>
      <x:c r="C3" s="26"/>
      <x:c r="D3" s="26"/>
      <x:c r="E3" s="26"/>
      <x:c r="F3" s="26"/>
      <x:c r="G3" s="26"/>
      <x:c r="H3" s="26"/>
      <x:c r="I3" s="26"/>
      <x:c r="J3" s="26"/>
    </x:row>
    <x:row r="4">
      <x:c r="B4" s="27"/>
      <x:c r="C4" s="27"/>
      <x:c r="D4" s="27"/>
      <x:c r="E4" s="27"/>
      <x:c r="F4" s="27"/>
      <x:c r="G4" s="27"/>
      <x:c r="H4" s="27"/>
      <x:c r="I4" s="27"/>
      <x:c r="J4" s="27"/>
    </x:row>
    <x:row r="5">
      <x:c r="A5" s="203" t="str">
        <x:v>Decision</x:v>
      </x:c>
      <x:c r="B5" s="204" t="str">
        <x:v>Start</x:v>
      </x:c>
      <x:c r="C5" s="204" t="str">
        <x:v>Cost / effect</x:v>
      </x:c>
      <x:c r="D5" s="204" t="str">
        <x:v>Expected result</x:v>
      </x:c>
      <x:c r="E5" s="204" t="str">
        <x:v>Evidence and achievability</x:v>
      </x:c>
      <x:c r="F5" s="204" t="str">
        <x:v>Capacity / timing check</x:v>
      </x:c>
      <x:c r="G5" s="204" t="str">
        <x:v>Status</x:v>
      </x:c>
      <x:c r="H5" s="204" t="str">
        <x:v>Board condition</x:v>
      </x:c>
      <x:c r="I5" s="26"/>
      <x:c r="J5" s="26"/>
    </x:row>
    <x:row r="6" ht="52" customHeight="1">
      <x:c r="A6" s="166" t="str">
        <x:v>Recover Anna key-account pipeline after handover</x:v>
      </x:c>
      <x:c r="B6" s="205" t="str">
        <x:v>Jun</x:v>
      </x:c>
      <x:c r="C6" s="93" t="str">
        <x:v>Direct cost €7,000; revenue €70,000</x:v>
      </x:c>
      <x:c r="D6" s="93" t="str">
        <x:v>€10,000 revenue per month Jun–Dec</x:v>
      </x:c>
      <x:c r="E6" s="93" t="str">
        <x:v>03 Sales Director Plan: 6–8 week cycle; 06 HR: Anna exits 28 Feb</x:v>
      </x:c>
      <x:c r="F6" s="93" t="str">
        <x:v>Mark / contractor must accept accounts; named delivery dates required</x:v>
      </x:c>
      <x:c r="G6" s="93" t="str">
        <x:v>Approved</x:v>
      </x:c>
      <x:c r="H6" s="93" t="str">
        <x:v>Release only after handover evidence and customer confirmation.</x:v>
      </x:c>
      <x:c r="I6" s="93"/>
      <x:c r="J6" s="93"/>
    </x:row>
    <x:row r="7" ht="52" customHeight="1">
      <x:c r="A7" s="166" t="str">
        <x:v>Reallocate marketing toward targeted search and executive breakfasts</x:v>
      </x:c>
      <x:c r="B7" s="205" t="str">
        <x:v>Apr</x:v>
      </x:c>
      <x:c r="C7" s="142" t="str">
        <x:v>€15,000 channel shift; no immediate P&amp;L uplift</x:v>
      </x:c>
      <x:c r="D7" s="142" t="str">
        <x:v>Improve lead quality; measure before adding revenue</x:v>
      </x:c>
      <x:c r="E7" s="142" t="str">
        <x:v>04 Marketing Director Plan: April–August and September–November calendar; conversion rate untested</x:v>
      </x:c>
      <x:c r="F7" s="142" t="str">
        <x:v>Track qualified leads, wins and lag by month</x:v>
      </x:c>
      <x:c r="G7" s="142" t="str">
        <x:v>Approved</x:v>
      </x:c>
      <x:c r="H7" s="142" t="str">
        <x:v>Do not count revenue until conversion evidence exists.</x:v>
      </x:c>
      <x:c r="I7" s="142"/>
      <x:c r="J7" s="142"/>
    </x:row>
    <x:row r="8" ht="52" customHeight="1">
      <x:c r="A8" s="166" t="str">
        <x:v>Use internal senior instructor capacity before external trainers</x:v>
      </x:c>
      <x:c r="B8" s="205" t="str">
        <x:v>Jan</x:v>
      </x:c>
      <x:c r="C8" s="142" t="str">
        <x:v>Direct-cost saving €28,630</x:v>
      </x:c>
      <x:c r="D8" s="142" t="str">
        <x:v>Lower delivery cost on the named register</x:v>
      </x:c>
      <x:c r="E8" s="142" t="str">
        <x:v>05 Operations capacity rules; 07 Finance: €700 / €770 external rates</x:v>
      </x:c>
      <x:c r="F8" s="142" t="str">
        <x:v>Confirm monthly senior days and September assistant booking</x:v>
      </x:c>
      <x:c r="G8" s="142" t="str">
        <x:v>Approved</x:v>
      </x:c>
      <x:c r="H8" s="142" t="str">
        <x:v>Do not remove external cost unless internal capacity is actually allocated.</x:v>
      </x:c>
      <x:c r="I8" s="142"/>
      <x:c r="J8" s="142"/>
    </x:row>
    <x:row r="9" ht="52" customHeight="1">
      <x:c r="B9" s="28"/>
      <x:c r="C9" s="142"/>
      <x:c r="D9" s="142"/>
      <x:c r="E9" s="142"/>
      <x:c r="F9" s="142"/>
      <x:c r="G9" s="142"/>
      <x:c r="H9" s="142"/>
      <x:c r="I9" s="142"/>
      <x:c r="J9" s="142"/>
    </x:row>
    <x:row r="10" ht="52" customHeight="1">
      <x:c r="B10" s="28"/>
      <x:c r="C10" s="142"/>
      <x:c r="D10" s="142"/>
      <x:c r="E10" s="142"/>
      <x:c r="F10" s="142"/>
      <x:c r="G10" s="142"/>
      <x:c r="H10" s="142"/>
      <x:c r="I10" s="142"/>
      <x:c r="J10" s="142"/>
    </x:row>
    <x:row r="11" ht="66" customHeight="1">
      <x:c r="B11" s="28"/>
      <x:c r="C11" s="93"/>
      <x:c r="D11" s="93"/>
      <x:c r="E11" s="93"/>
      <x:c r="F11" s="93"/>
      <x:c r="G11" s="93"/>
      <x:c r="H11" s="93"/>
      <x:c r="I11" s="93"/>
      <x:c r="J11" s="93"/>
    </x:row>
    <x:row r="12" ht="78" customHeight="1">
      <x:c r="A12" s="166" t="str">
        <x:v>Board recommendation</x:v>
      </x:c>
      <x:c r="B12" s="205" t="str">
        <x:v>Do not approve the original draft. Approve Part 2 only as a conditional recovery plan with monthly evidence gates; the current Part 2 result remains a loss of €114,421.</x:v>
      </x:c>
      <x:c r="C12" s="93"/>
      <x:c r="D12" s="93"/>
      <x:c r="E12" s="93"/>
      <x:c r="F12" s="93"/>
      <x:c r="G12" s="93"/>
      <x:c r="H12" s="93"/>
      <x:c r="I12" s="93"/>
      <x:c r="J12" s="93"/>
    </x:row>
    <x:row r="13" ht="66" customHeight="1">
      <x:c r="A13" s="166" t="str">
        <x:v>Part 1 annual revenue</x:v>
      </x:c>
      <x:c r="B13" s="206" t="n">
        <x:v>146650</x:v>
      </x:c>
      <x:c r="C13" s="93"/>
      <x:c r="D13" s="93"/>
      <x:c r="E13" s="93"/>
      <x:c r="F13" s="93"/>
      <x:c r="G13" s="93"/>
      <x:c r="H13" s="93"/>
      <x:c r="I13" s="93"/>
      <x:c r="J13" s="93"/>
    </x:row>
    <x:row r="14" ht="34" customHeight="1">
      <x:c r="A14" s="166" t="str">
        <x:v>Part 1 annual profit</x:v>
      </x:c>
      <x:c r="B14" s="206" t="n">
        <x:v>-206051</x:v>
      </x:c>
      <x:c r="C14" s="93" t="str"/>
      <x:c r="D14" s="93"/>
      <x:c r="E14" s="93"/>
      <x:c r="F14" s="93"/>
      <x:c r="G14" s="93"/>
      <x:c r="H14" s="93"/>
      <x:c r="I14" s="93"/>
      <x:c r="J14" s="93"/>
    </x:row>
    <x:row r="15">
      <x:c r="A15" s="166" t="str">
        <x:v>Part 2 annual revenue</x:v>
      </x:c>
      <x:c r="B15" s="169" t="n">
        <x:v>216650</x:v>
      </x:c>
    </x:row>
    <x:row r="16">
      <x:c r="A16" s="166" t="str">
        <x:v>Part 2 annual profit</x:v>
      </x:c>
      <x:c r="B16" s="169" t="n">
        <x:v>-114421</x:v>
      </x:c>
    </x:row>
    <x:row r="17" ht="90" customHeight="1">
      <x:c r="A17" s="166" t="str">
        <x:v>Main remaining risk</x:v>
      </x:c>
      <x:c r="B17" s="166" t="str">
        <x:v>The strategy improves the loss but does not reach break-even. Additional sales must be supported by programme-level dates, delivery capacity, trainer availability and direct costs.</x:v>
      </x:c>
    </x:row>
    <x:row r="18" ht="42" customHeight="1">
      <x:c r="A18" s="166" t="str">
        <x:v>Break-even bridge</x:v>
      </x:c>
      <x:c r="B18" s="166" t="str">
        <x:v>Incremental contribution still required to reach break-even</x:v>
      </x:c>
    </x:row>
    <x:row r="19" ht="42" customHeight="1">
      <x:c r="A19" s="166" t="str">
        <x:v>Contribution required</x:v>
      </x:c>
      <x:c r="B19" s="166" t="n">
        <x:f>MAX(0,-B16)</x:f>
        <x:v>114421</x:v>
      </x:c>
    </x:row>
    <x:row r="21" ht="54" customHeight="1">
      <x:c r="A21" s="166" t="str">
        <x:v>Controls outside Part 2</x:v>
      </x:c>
      <x:c r="B21" s="166" t="str">
        <x:v>Category</x:v>
      </x:c>
      <x:c r="C21" s="166" t="str">
        <x:v>Evidence</x:v>
      </x:c>
      <x:c r="D21" s="166" t="str">
        <x:v>Requirement</x:v>
      </x:c>
      <x:c r="E21" s="166" t="str"/>
      <x:c r="F21" s="166" t="str"/>
      <x:c r="G21" s="166" t="str"/>
      <x:c r="H21" s="166" t="str"/>
    </x:row>
    <x:row r="22" ht="54" customHeight="1">
      <x:c r="A22" s="166" t="str">
        <x:v>Ella Fast ramp; placeholder programme gate</x:v>
      </x:c>
      <x:c r="B22" s="166" t="str">
        <x:v>Part 1 constraint / governance condition</x:v>
      </x:c>
      <x:c r="C22" s="166" t="str">
        <x:v>06 HR; 05 Operations; 00 Start Here</x:v>
      </x:c>
      <x:c r="D22" s="166" t="str">
        <x:v>Keep outside the incremental decision register. Do not approve further revenue without a dated programme, delivery resource, room/venue, sales owner and direct-cost estimate.</x:v>
      </x:c>
      <x:c r="E22" s="166" t="str"/>
      <x:c r="F22" s="166" t="str"/>
      <x:c r="G22" s="166" t="str"/>
      <x:c r="H22" s="166" t="str"/>
    </x:row>
  </x:sheetData>
  <x:mergeCells>
    <x:mergeCell ref="B12:H12"/>
    <x:mergeCell ref="B17:H17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44" hidden="0" customWidth="1"/>
    <x:col min="3" max="3" width="24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</x:cols>
  <x:sheetData>
    <x:row r="1">
      <x:c r="A1" s="172" t="str">
        <x:v>Part 2 Management Budget</x:v>
      </x:c>
      <x:c r="B1" s="13"/>
      <x:c r="C1" s="13"/>
      <x:c r="D1" s="13"/>
      <x:c r="E1" s="13"/>
      <x:c r="F1" s="13"/>
      <x:c r="G1" s="13"/>
      <x:c r="H1" s="13"/>
      <x:c r="I1" s="13"/>
      <x:c r="J1" s="13"/>
      <x:c r="K1" s="13"/>
      <x:c r="L1" s="13"/>
      <x:c r="M1" s="13"/>
      <x:c r="N1" s="13"/>
      <x:c r="O1" s="13"/>
      <x:c r="P1" s="13"/>
    </x:row>
    <x:row r="2">
      <x:c r="A2" s="164" t="str">
        <x:v>Part 1 plus three approved incremental decisions. Marketing has no assumed conversion uplift; Anna recovery is gated and costed. September assistant booking remains a review condition.</x:v>
      </x:c>
      <x:c r="B2" s="106"/>
      <x:c r="C2" s="106"/>
      <x:c r="D2" s="106"/>
      <x:c r="E2" s="106"/>
      <x:c r="F2" s="106"/>
      <x:c r="G2" s="106"/>
      <x:c r="H2" s="106"/>
      <x:c r="I2" s="106"/>
      <x:c r="J2" s="106"/>
      <x:c r="K2" s="106"/>
      <x:c r="L2" s="106"/>
      <x:c r="M2" s="106"/>
      <x:c r="N2" s="106"/>
      <x:c r="O2" s="106"/>
      <x:c r="P2" s="106"/>
    </x:row>
    <x:row r="3">
      <x:c r="A3"/>
      <x:c r="B3" s="107" t="str">
        <x:v>Build a new monthly P&amp;L from Part 1 plus the management decisions recorded in sheet 11. Include their costs and timing.</x:v>
      </x:c>
      <x:c r="C3" s="107"/>
      <x:c r="D3" s="107"/>
      <x:c r="E3" s="107"/>
      <x:c r="F3" s="107"/>
      <x:c r="G3" s="107"/>
      <x:c r="H3" s="107"/>
      <x:c r="I3" s="107"/>
      <x:c r="J3" s="107"/>
      <x:c r="K3" s="107"/>
      <x:c r="L3" s="107"/>
      <x:c r="M3" s="107"/>
      <x:c r="N3" s="107"/>
      <x:c r="O3" s="107"/>
      <x:c r="P3" s="107"/>
    </x:row>
    <x:row r="4">
      <x:c r="A4" s="166"/>
      <x:c r="B4" s="166"/>
      <x:c r="C4" s="166"/>
      <x:c r="D4" s="193" t="str">
        <x:v>Jan</x:v>
      </x:c>
      <x:c r="E4" s="193" t="str">
        <x:v>Feb</x:v>
      </x:c>
      <x:c r="F4" s="193" t="str">
        <x:v>Mar</x:v>
      </x:c>
      <x:c r="G4" s="193" t="str">
        <x:v>Apr</x:v>
      </x:c>
      <x:c r="H4" s="193" t="str">
        <x:v>May</x:v>
      </x:c>
      <x:c r="I4" s="193" t="str">
        <x:v>Jun</x:v>
      </x:c>
      <x:c r="J4" s="193" t="str">
        <x:v>Jul</x:v>
      </x:c>
      <x:c r="K4" s="193" t="str">
        <x:v>Aug</x:v>
      </x:c>
      <x:c r="L4" s="193" t="str">
        <x:v>Sep</x:v>
      </x:c>
      <x:c r="M4" s="193" t="str">
        <x:v>Oct</x:v>
      </x:c>
      <x:c r="N4" s="193" t="str">
        <x:v>Nov</x:v>
      </x:c>
      <x:c r="O4" s="193" t="str">
        <x:v>Dec</x:v>
      </x:c>
      <x:c r="P4" s="193" t="str">
        <x:v>FY Total</x:v>
      </x:c>
    </x:row>
    <x:row r="5" ht="23" customHeight="1">
      <x:c r="A5" s="166"/>
      <x:c r="B5" s="194" t="str">
        <x:v>Part 1 revenue plus approved recovery</x:v>
      </x:c>
      <x:c r="C5" s="194"/>
      <x:c r="D5" s="195" t="n">
        <x:f>'10 Corrected Budget'!D5+C17</x:f>
        <x:v>8600</x:v>
      </x:c>
      <x:c r="E5" s="195" t="n">
        <x:f>'10 Corrected Budget'!E5+D17</x:f>
        <x:v>12700</x:v>
      </x:c>
      <x:c r="F5" s="195" t="n">
        <x:f>'10 Corrected Budget'!F5+E17</x:f>
        <x:v>15000</x:v>
      </x:c>
      <x:c r="G5" s="195" t="n">
        <x:f>'10 Corrected Budget'!G5+F17</x:f>
        <x:v>12050</x:v>
      </x:c>
      <x:c r="H5" s="195" t="n">
        <x:f>'10 Corrected Budget'!H5+G17</x:f>
        <x:v>13300</x:v>
      </x:c>
      <x:c r="I5" s="195" t="n">
        <x:f>'10 Corrected Budget'!I5+H17</x:f>
        <x:v>22750</x:v>
      </x:c>
      <x:c r="J5" s="195" t="n">
        <x:f>'10 Corrected Budget'!J5+I17</x:f>
        <x:v>12500</x:v>
      </x:c>
      <x:c r="K5" s="195" t="n">
        <x:f>'10 Corrected Budget'!K5+J17</x:f>
        <x:v>19000</x:v>
      </x:c>
      <x:c r="L5" s="195" t="n">
        <x:f>'10 Corrected Budget'!L5+K17</x:f>
        <x:v>27000</x:v>
      </x:c>
      <x:c r="M5" s="195" t="n">
        <x:f>'10 Corrected Budget'!M5+L17</x:f>
        <x:v>29450</x:v>
      </x:c>
      <x:c r="N5" s="195" t="n">
        <x:f>'10 Corrected Budget'!N5+M17</x:f>
        <x:v>26800</x:v>
      </x:c>
      <x:c r="O5" s="195" t="n">
        <x:f>'10 Corrected Budget'!O5+N17</x:f>
        <x:v>17500</x:v>
      </x:c>
      <x:c r="P5" s="195" t="n">
        <x:f>SUM(D5:O5)</x:f>
        <x:v>216650</x:v>
      </x:c>
    </x:row>
    <x:row r="6">
      <x:c r="A6" s="166"/>
      <x:c r="B6" s="242" t="str">
        <x:v>Part 1 direct costs plus decision effects</x:v>
      </x:c>
      <x:c r="C6" s="242" t="str">
        <x:v>Decision / calculation</x:v>
      </x:c>
      <x:c r="D6" s="243" t="n">
        <x:f>'10 Corrected Budget'!D6+C18+C19</x:f>
        <x:v>-1900</x:v>
      </x:c>
      <x:c r="E6" s="243" t="n">
        <x:f>'10 Corrected Budget'!E6+D18+D19</x:f>
        <x:v>-3855</x:v>
      </x:c>
      <x:c r="F6" s="243" t="n">
        <x:f>'10 Corrected Budget'!F6+E18+E19</x:f>
        <x:v>-3450</x:v>
      </x:c>
      <x:c r="G6" s="243" t="n">
        <x:f>'10 Corrected Budget'!G6+F18+F19</x:f>
        <x:v>-4053</x:v>
      </x:c>
      <x:c r="H6" s="243" t="n">
        <x:f>'10 Corrected Budget'!H6+G18+G19</x:f>
        <x:v>-2705</x:v>
      </x:c>
      <x:c r="I6" s="243" t="n">
        <x:f>'10 Corrected Budget'!I6+H18+H19</x:f>
        <x:v>-6225</x:v>
      </x:c>
      <x:c r="J6" s="243" t="n">
        <x:f>'10 Corrected Budget'!J6+I18+I19</x:f>
        <x:v>-1425</x:v>
      </x:c>
      <x:c r="K6" s="243" t="n">
        <x:f>'10 Corrected Budget'!K6+J18+J19</x:f>
        <x:v>-3450</x:v>
      </x:c>
      <x:c r="L6" s="243" t="n">
        <x:f>'10 Corrected Budget'!L6+K18+K19</x:f>
        <x:v>-4655</x:v>
      </x:c>
      <x:c r="M6" s="243" t="n">
        <x:f>'10 Corrected Budget'!M6+L18+L19</x:f>
        <x:v>-6015</x:v>
      </x:c>
      <x:c r="N6" s="243" t="n">
        <x:f>'10 Corrected Budget'!N6+M18+M19</x:f>
        <x:v>-6780</x:v>
      </x:c>
      <x:c r="O6" s="243" t="n">
        <x:f>'10 Corrected Budget'!O6+N18+N19</x:f>
        <x:v>-2725</x:v>
      </x:c>
      <x:c r="P6" s="243" t="n">
        <x:f>SUM(D6:O6)</x:f>
        <x:v>-47238</x:v>
      </x:c>
    </x:row>
    <x:row r="7">
      <x:c r="A7" s="166"/>
      <x:c r="B7" s="166" t="str">
        <x:v>Contribution</x:v>
      </x:c>
      <x:c r="C7" s="93"/>
      <x:c r="D7" s="171" t="n">
        <x:f>SUM(D5:D6)</x:f>
        <x:v>6700</x:v>
      </x:c>
      <x:c r="E7" s="171" t="n">
        <x:f>SUM(E5:E6)</x:f>
        <x:v>8845</x:v>
      </x:c>
      <x:c r="F7" s="171" t="n">
        <x:f>SUM(F5:F6)</x:f>
        <x:v>11550</x:v>
      </x:c>
      <x:c r="G7" s="171" t="n">
        <x:f>SUM(G5:G6)</x:f>
        <x:v>7997</x:v>
      </x:c>
      <x:c r="H7" s="171" t="n">
        <x:f>SUM(H5:H6)</x:f>
        <x:v>10595</x:v>
      </x:c>
      <x:c r="I7" s="171" t="n">
        <x:f>SUM(I5:I6)</x:f>
        <x:v>16525</x:v>
      </x:c>
      <x:c r="J7" s="171" t="n">
        <x:f>SUM(J5:J6)</x:f>
        <x:v>11075</x:v>
      </x:c>
      <x:c r="K7" s="171" t="n">
        <x:f>SUM(K5:K6)</x:f>
        <x:v>15550</x:v>
      </x:c>
      <x:c r="L7" s="171" t="n">
        <x:f>SUM(L5:L6)</x:f>
        <x:v>22345</x:v>
      </x:c>
      <x:c r="M7" s="171" t="n">
        <x:f>SUM(M5:M6)</x:f>
        <x:v>23435</x:v>
      </x:c>
      <x:c r="N7" s="171" t="n">
        <x:f>SUM(N5:N6)</x:f>
        <x:v>20020</x:v>
      </x:c>
      <x:c r="O7" s="171" t="n">
        <x:f>SUM(O5:O6)</x:f>
        <x:v>14775</x:v>
      </x:c>
      <x:c r="P7" s="190" t="n">
        <x:f>SUM(D7:O7)</x:f>
        <x:v>169412</x:v>
      </x:c>
    </x:row>
    <x:row r="8">
      <x:c r="A8" s="166"/>
      <x:c r="B8" s="166" t="str">
        <x:v>Contribution margin</x:v>
      </x:c>
      <x:c r="C8" s="93"/>
      <x:c r="D8" s="191" t="n">
        <x:f>IFERROR(D7/D5,0)</x:f>
        <x:v>0.7790697674418605</x:v>
      </x:c>
      <x:c r="E8" s="191" t="n">
        <x:f>IFERROR(E7/E5,0)</x:f>
        <x:v>0.6964566929133859</x:v>
      </x:c>
      <x:c r="F8" s="191" t="n">
        <x:f>IFERROR(F7/F5,0)</x:f>
        <x:v>0.77</x:v>
      </x:c>
      <x:c r="G8" s="191" t="n">
        <x:f>IFERROR(G7/G5,0)</x:f>
        <x:v>0.6636514522821577</x:v>
      </x:c>
      <x:c r="H8" s="191" t="n">
        <x:f>IFERROR(H7/H5,0)</x:f>
        <x:v>0.7966165413533834</x:v>
      </x:c>
      <x:c r="I8" s="191" t="n">
        <x:f>IFERROR(I7/I5,0)</x:f>
        <x:v>0.7263736263736263</x:v>
      </x:c>
      <x:c r="J8" s="191" t="n">
        <x:f>IFERROR(J7/J5,0)</x:f>
        <x:v>0.886</x:v>
      </x:c>
      <x:c r="K8" s="191" t="n">
        <x:f>IFERROR(K7/K5,0)</x:f>
        <x:v>0.8184210526315789</x:v>
      </x:c>
      <x:c r="L8" s="191" t="n">
        <x:f>IFERROR(L7/L5,0)</x:f>
        <x:v>0.8275925925925925</x:v>
      </x:c>
      <x:c r="M8" s="191" t="n">
        <x:f>IFERROR(M7/M5,0)</x:f>
        <x:v>0.7957555178268251</x:v>
      </x:c>
      <x:c r="N8" s="191" t="n">
        <x:f>IFERROR(N7/N5,0)</x:f>
        <x:v>0.7470149253731343</x:v>
      </x:c>
      <x:c r="O8" s="191" t="n">
        <x:f>IFERROR(O7/O5,0)</x:f>
        <x:v>0.8442857142857143</x:v>
      </x:c>
      <x:c r="P8" s="192" t="n">
        <x:f>IFERROR(P7/P5,0)</x:f>
        <x:v>0.7819616893607201</x:v>
      </x:c>
    </x:row>
    <x:row r="9">
      <x:c r="A9" s="166"/>
      <x:c r="B9" s="166" t="str">
        <x:v>Part 1 operating expenses</x:v>
      </x:c>
      <x:c r="C9" s="93"/>
      <x:c r="D9" s="190" t="n">
        <x:f>'10 Corrected Budget'!D9</x:f>
        <x:v>-24725</x:v>
      </x:c>
      <x:c r="E9" s="190" t="n">
        <x:f>'10 Corrected Budget'!E9</x:f>
        <x:v>-24225</x:v>
      </x:c>
      <x:c r="F9" s="190" t="n">
        <x:f>'10 Corrected Budget'!F9</x:f>
        <x:v>-21975</x:v>
      </x:c>
      <x:c r="G9" s="190" t="n">
        <x:f>'10 Corrected Budget'!G9</x:f>
        <x:v>-23275</x:v>
      </x:c>
      <x:c r="H9" s="190" t="n">
        <x:f>'10 Corrected Budget'!H9</x:f>
        <x:v>-23641.67</x:v>
      </x:c>
      <x:c r="I9" s="190" t="n">
        <x:f>'10 Corrected Budget'!I9</x:f>
        <x:v>-23141.67</x:v>
      </x:c>
      <x:c r="J9" s="190" t="n">
        <x:f>'10 Corrected Budget'!J9</x:f>
        <x:v>-21641.67</x:v>
      </x:c>
      <x:c r="K9" s="190" t="n">
        <x:f>'10 Corrected Budget'!K9</x:f>
        <x:v>-22641.67</x:v>
      </x:c>
      <x:c r="L9" s="190" t="n">
        <x:f>'10 Corrected Budget'!L9</x:f>
        <x:v>-25141.67</x:v>
      </x:c>
      <x:c r="M9" s="190" t="n">
        <x:f>'10 Corrected Budget'!M9</x:f>
        <x:v>-25641.67</x:v>
      </x:c>
      <x:c r="N9" s="190" t="n">
        <x:f>'10 Corrected Budget'!N9</x:f>
        <x:v>-24641.67</x:v>
      </x:c>
      <x:c r="O9" s="190" t="n">
        <x:f>'10 Corrected Budget'!O9</x:f>
        <x:v>-23141.67</x:v>
      </x:c>
      <x:c r="P9" s="190" t="n">
        <x:f>SUM(D9:O9)</x:f>
        <x:v>-283833.3599999999</x:v>
      </x:c>
    </x:row>
    <x:row r="10">
      <x:c r="A10" s="166"/>
      <x:c r="B10" s="166" t="str">
        <x:v>Operating profit</x:v>
      </x:c>
      <x:c r="C10" s="93"/>
      <x:c r="D10" s="190" t="n">
        <x:f>SUM(D7,D9)</x:f>
        <x:v>-18025</x:v>
      </x:c>
      <x:c r="E10" s="190" t="n">
        <x:f>SUM(E7,E9)</x:f>
        <x:v>-15380</x:v>
      </x:c>
      <x:c r="F10" s="190" t="n">
        <x:f>SUM(F7,F9)</x:f>
        <x:v>-10425</x:v>
      </x:c>
      <x:c r="G10" s="190" t="n">
        <x:f>SUM(G7,G9)</x:f>
        <x:v>-15278</x:v>
      </x:c>
      <x:c r="H10" s="190" t="n">
        <x:f>SUM(H7,H9)</x:f>
        <x:v>-13046.669999999998</x:v>
      </x:c>
      <x:c r="I10" s="190" t="n">
        <x:f>SUM(I7,I9)</x:f>
        <x:v>-6616.669999999998</x:v>
      </x:c>
      <x:c r="J10" s="190" t="n">
        <x:f>SUM(J7,J9)</x:f>
        <x:v>-10566.669999999998</x:v>
      </x:c>
      <x:c r="K10" s="190" t="n">
        <x:f>SUM(K7,K9)</x:f>
        <x:v>-7091.669999999998</x:v>
      </x:c>
      <x:c r="L10" s="190" t="n">
        <x:f>SUM(L7,L9)</x:f>
        <x:v>-2796.6699999999983</x:v>
      </x:c>
      <x:c r="M10" s="190" t="n">
        <x:f>SUM(M7,M9)</x:f>
        <x:v>-2206.6699999999983</x:v>
      </x:c>
      <x:c r="N10" s="190" t="n">
        <x:f>SUM(N7,N9)</x:f>
        <x:v>-4621.669999999998</x:v>
      </x:c>
      <x:c r="O10" s="190" t="n">
        <x:f>SUM(O7,O9)</x:f>
        <x:v>-8366.669999999998</x:v>
      </x:c>
      <x:c r="P10" s="190" t="n">
        <x:f>SUM(D10:O10)</x:f>
        <x:v>-114421.35999999999</x:v>
      </x:c>
    </x:row>
    <x:row r="11">
      <x:c r="A11" s="166"/>
      <x:c r="B11" s="166" t="str">
        <x:v>Operating margin</x:v>
      </x:c>
      <x:c r="C11" s="93"/>
      <x:c r="D11" s="191" t="n">
        <x:f>IFERROR(D10/D5,0)</x:f>
        <x:v>-2.0959302325581395</x:v>
      </x:c>
      <x:c r="E11" s="191" t="n">
        <x:f>IFERROR(E10/E5,0)</x:f>
        <x:v>-1.2110236220472441</x:v>
      </x:c>
      <x:c r="F11" s="191" t="n">
        <x:f>IFERROR(F10/F5,0)</x:f>
        <x:v>-0.695</x:v>
      </x:c>
      <x:c r="G11" s="191" t="n">
        <x:f>IFERROR(G10/G5,0)</x:f>
        <x:v>-1.2678838174273859</x:v>
      </x:c>
      <x:c r="H11" s="191" t="n">
        <x:f>IFERROR(H10/H5,0)</x:f>
        <x:v>-0.9809526315789472</x:v>
      </x:c>
      <x:c r="I11" s="191" t="n">
        <x:f>IFERROR(I10/I5,0)</x:f>
        <x:v>-0.29084263736263727</x:v>
      </x:c>
      <x:c r="J11" s="191" t="n">
        <x:f>IFERROR(J10/J5,0)</x:f>
        <x:v>-0.8453335999999999</x:v>
      </x:c>
      <x:c r="K11" s="191" t="n">
        <x:f>IFERROR(K10/K5,0)</x:f>
        <x:v>-0.37324578947368414</x:v>
      </x:c>
      <x:c r="L11" s="191" t="n">
        <x:f>IFERROR(L10/L5,0)</x:f>
        <x:v>-0.10358037037037031</x:v>
      </x:c>
      <x:c r="M11" s="191" t="n">
        <x:f>IFERROR(M10/M5,0)</x:f>
        <x:v>-0.07492937181663831</x:v>
      </x:c>
      <x:c r="N11" s="191" t="n">
        <x:f>IFERROR(N10/N5,0)</x:f>
        <x:v>-0.1724503731343283</x:v>
      </x:c>
      <x:c r="O11" s="191" t="n">
        <x:f>IFERROR(O10/O5,0)</x:f>
        <x:v>-0.47809542857142845</x:v>
      </x:c>
      <x:c r="P11" s="192" t="n">
        <x:f>IFERROR(P10/P5,0)</x:f>
        <x:v>-0.528139210708516</x:v>
      </x:c>
    </x:row>
    <x:row r="12">
      <x:c r="A12" s="166"/>
      <x:c r="B12" s="166" t="str">
        <x:v>Trainer days required</x:v>
      </x:c>
      <x:c r="C12" s="93"/>
      <x:c r="D12" s="190" t="n">
        <x:f>SUMIF('06 Draft Program Plan'!$B$7:$B$32,D$4,'06 Draft Program Plan'!$F$7:$F$32)</x:f>
        <x:v>0</x:v>
      </x:c>
      <x:c r="E12" s="190" t="n">
        <x:f>SUMIF('06 Draft Program Plan'!$B$7:$B$32,E$4,'06 Draft Program Plan'!$F$7:$F$32)</x:f>
        <x:v>0</x:v>
      </x:c>
      <x:c r="F12" s="190" t="n">
        <x:f>SUMIF('06 Draft Program Plan'!$B$7:$B$32,F$4,'06 Draft Program Plan'!$F$7:$F$32)</x:f>
        <x:v>0</x:v>
      </x:c>
      <x:c r="G12" s="190" t="n">
        <x:f>SUMIF('06 Draft Program Plan'!$B$7:$B$32,G$4,'06 Draft Program Plan'!$F$7:$F$32)</x:f>
        <x:v>0</x:v>
      </x:c>
      <x:c r="H12" s="190" t="n">
        <x:f>SUMIF('06 Draft Program Plan'!$B$7:$B$32,H$4,'06 Draft Program Plan'!$F$7:$F$32)</x:f>
        <x:v>0</x:v>
      </x:c>
      <x:c r="I12" s="190" t="n">
        <x:f>SUMIF('06 Draft Program Plan'!$B$7:$B$32,I$4,'06 Draft Program Plan'!$F$7:$F$32)</x:f>
        <x:v>0</x:v>
      </x:c>
      <x:c r="J12" s="190" t="n">
        <x:f>SUMIF('06 Draft Program Plan'!$B$7:$B$32,J$4,'06 Draft Program Plan'!$F$7:$F$32)</x:f>
        <x:v>0</x:v>
      </x:c>
      <x:c r="K12" s="190" t="n">
        <x:f>SUMIF('06 Draft Program Plan'!$B$7:$B$32,K$4,'06 Draft Program Plan'!$F$7:$F$32)</x:f>
        <x:v>0</x:v>
      </x:c>
      <x:c r="L12" s="190" t="n">
        <x:f>SUMIF('06 Draft Program Plan'!$B$7:$B$32,L$4,'06 Draft Program Plan'!$F$7:$F$32)</x:f>
        <x:v>0</x:v>
      </x:c>
      <x:c r="M12" s="190" t="n">
        <x:f>SUMIF('06 Draft Program Plan'!$B$7:$B$32,M$4,'06 Draft Program Plan'!$F$7:$F$32)</x:f>
        <x:v>0</x:v>
      </x:c>
      <x:c r="N12" s="190" t="n">
        <x:f>SUMIF('06 Draft Program Plan'!$B$7:$B$32,N$4,'06 Draft Program Plan'!$F$7:$F$32)</x:f>
        <x:v>0</x:v>
      </x:c>
      <x:c r="O12" s="190" t="n">
        <x:f>SUMIF('06 Draft Program Plan'!$B$7:$B$32,O$4,'06 Draft Program Plan'!$F$7:$F$32)</x:f>
        <x:v>0</x:v>
      </x:c>
      <x:c r="P12" s="190" t="n">
        <x:f>SUM(D12:O12)</x:f>
        <x:v>0</x:v>
      </x:c>
    </x:row>
    <x:row r="13">
      <x:c r="A13" s="166"/>
      <x:c r="B13" s="166" t="str">
        <x:v>Open seats sold</x:v>
      </x:c>
      <x:c r="C13" s="93"/>
      <x:c r="D13" s="190" t="n">
        <x:f>SUMIFS('06 Draft Program Plan'!$G$7:$G$32,'06 Draft Program Plan'!$B$7:$B$32,D$4,'06 Draft Program Plan'!$E$7:$E$32,"Open")</x:f>
        <x:v>0</x:v>
      </x:c>
      <x:c r="E13" s="190" t="n">
        <x:f>SUMIFS('06 Draft Program Plan'!$G$7:$G$32,'06 Draft Program Plan'!$B$7:$B$32,E$4,'06 Draft Program Plan'!$E$7:$E$32,"Open")</x:f>
        <x:v>0</x:v>
      </x:c>
      <x:c r="F13" s="190" t="n">
        <x:f>SUMIFS('06 Draft Program Plan'!$G$7:$G$32,'06 Draft Program Plan'!$B$7:$B$32,F$4,'06 Draft Program Plan'!$E$7:$E$32,"Open")</x:f>
        <x:v>0</x:v>
      </x:c>
      <x:c r="G13" s="190" t="n">
        <x:f>SUMIFS('06 Draft Program Plan'!$G$7:$G$32,'06 Draft Program Plan'!$B$7:$B$32,G$4,'06 Draft Program Plan'!$E$7:$E$32,"Open")</x:f>
        <x:v>0</x:v>
      </x:c>
      <x:c r="H13" s="190" t="n">
        <x:f>SUMIFS('06 Draft Program Plan'!$G$7:$G$32,'06 Draft Program Plan'!$B$7:$B$32,H$4,'06 Draft Program Plan'!$E$7:$E$32,"Open")</x:f>
        <x:v>0</x:v>
      </x:c>
      <x:c r="I13" s="190" t="n">
        <x:f>SUMIFS('06 Draft Program Plan'!$G$7:$G$32,'06 Draft Program Plan'!$B$7:$B$32,I$4,'06 Draft Program Plan'!$E$7:$E$32,"Open")</x:f>
        <x:v>0</x:v>
      </x:c>
      <x:c r="J13" s="190" t="n">
        <x:f>SUMIFS('06 Draft Program Plan'!$G$7:$G$32,'06 Draft Program Plan'!$B$7:$B$32,J$4,'06 Draft Program Plan'!$E$7:$E$32,"Open")</x:f>
        <x:v>0</x:v>
      </x:c>
      <x:c r="K13" s="190" t="n">
        <x:f>SUMIFS('06 Draft Program Plan'!$G$7:$G$32,'06 Draft Program Plan'!$B$7:$B$32,K$4,'06 Draft Program Plan'!$E$7:$E$32,"Open")</x:f>
        <x:v>0</x:v>
      </x:c>
      <x:c r="L13" s="190" t="n">
        <x:f>SUMIFS('06 Draft Program Plan'!$G$7:$G$32,'06 Draft Program Plan'!$B$7:$B$32,L$4,'06 Draft Program Plan'!$E$7:$E$32,"Open")</x:f>
        <x:v>0</x:v>
      </x:c>
      <x:c r="M13" s="190" t="n">
        <x:f>SUMIFS('06 Draft Program Plan'!$G$7:$G$32,'06 Draft Program Plan'!$B$7:$B$32,M$4,'06 Draft Program Plan'!$E$7:$E$32,"Open")</x:f>
        <x:v>0</x:v>
      </x:c>
      <x:c r="N13" s="190" t="n">
        <x:f>SUMIFS('06 Draft Program Plan'!$G$7:$G$32,'06 Draft Program Plan'!$B$7:$B$32,N$4,'06 Draft Program Plan'!$E$7:$E$32,"Open")</x:f>
        <x:v>0</x:v>
      </x:c>
      <x:c r="O13" s="190" t="n">
        <x:f>SUMIFS('06 Draft Program Plan'!$G$7:$G$32,'06 Draft Program Plan'!$B$7:$B$32,O$4,'06 Draft Program Plan'!$E$7:$E$32,"Open")</x:f>
        <x:v>0</x:v>
      </x:c>
      <x:c r="P13" s="190" t="n">
        <x:f>SUM(D13:O13)</x:f>
        <x:v>0</x:v>
      </x:c>
    </x:row>
    <x:row r="14">
      <x:c r="A14"/>
      <x:c r="B14" s="112"/>
      <x:c r="C14" s="113"/>
      <x:c r="D14" s="137"/>
      <x:c r="E14" s="137"/>
      <x:c r="F14" s="137"/>
      <x:c r="G14" s="137"/>
      <x:c r="H14" s="137"/>
      <x:c r="I14" s="137"/>
      <x:c r="J14" s="137"/>
      <x:c r="K14" s="137"/>
      <x:c r="L14" s="137"/>
      <x:c r="M14" s="137"/>
      <x:c r="N14" s="137"/>
      <x:c r="O14" s="137"/>
      <x:c r="P14" s="139"/>
    </x:row>
    <x:row r="15">
      <x:c r="A15"/>
      <x:c r="B15" s="114"/>
      <x:c r="C15" s="115"/>
      <x:c r="D15" s="138"/>
      <x:c r="E15" s="138"/>
      <x:c r="F15" s="138"/>
      <x:c r="G15" s="138"/>
      <x:c r="H15" s="138"/>
      <x:c r="I15" s="138"/>
      <x:c r="J15" s="138"/>
      <x:c r="K15" s="138"/>
      <x:c r="L15" s="138"/>
      <x:c r="M15" s="138"/>
      <x:c r="N15" s="138"/>
      <x:c r="O15" s="138"/>
      <x:c r="P15" s="140"/>
    </x:row>
    <x:row r="16">
      <x:c r="A16" s="200" t="str">
        <x:v>Supporting decision calculations</x:v>
      </x:c>
      <x:c r="B16" s="200" t="str"/>
      <x:c r="C16" s="200" t="str"/>
      <x:c r="D16" s="200" t="str"/>
      <x:c r="E16" s="200" t="str"/>
      <x:c r="F16" s="200" t="str"/>
      <x:c r="G16" s="200" t="str"/>
      <x:c r="H16" s="200" t="str"/>
      <x:c r="I16" s="103"/>
      <x:c r="J16" s="103"/>
      <x:c r="K16" s="103"/>
      <x:c r="L16" s="103"/>
      <x:c r="M16" s="103"/>
      <x:c r="N16" s="103"/>
      <x:c r="O16" s="103"/>
      <x:c r="P16" s="103"/>
    </x:row>
    <x:row r="17" ht="24" customHeight="1">
      <x:c r="A17" s="166" t="str">
        <x:v>Anna recovery revenue</x:v>
      </x:c>
      <x:c r="B17" s="194" t="str">
        <x:v>New Part 2 decision; €10,000 monthly Jun–Dec</x:v>
      </x:c>
      <x:c r="C17" s="195" t="n">
        <x:v>0</x:v>
      </x:c>
      <x:c r="D17" s="195" t="n">
        <x:v>0</x:v>
      </x:c>
      <x:c r="E17" s="195" t="n">
        <x:v>0</x:v>
      </x:c>
      <x:c r="F17" s="195" t="n">
        <x:v>0</x:v>
      </x:c>
      <x:c r="G17" s="195" t="n">
        <x:v>0</x:v>
      </x:c>
      <x:c r="H17" s="195" t="n">
        <x:v>10000</x:v>
      </x:c>
      <x:c r="I17" s="195" t="n">
        <x:v>10000</x:v>
      </x:c>
      <x:c r="J17" s="195" t="n">
        <x:v>10000</x:v>
      </x:c>
      <x:c r="K17" s="195" t="n">
        <x:v>10000</x:v>
      </x:c>
      <x:c r="L17" s="195" t="n">
        <x:v>10000</x:v>
      </x:c>
      <x:c r="M17" s="195" t="n">
        <x:v>10000</x:v>
      </x:c>
      <x:c r="N17" s="195" t="n">
        <x:v>10000</x:v>
      </x:c>
      <x:c r="O17" s="107"/>
      <x:c r="P17" s="107"/>
    </x:row>
    <x:row r="18">
      <x:c r="A18" s="166" t="str">
        <x:v>Anna recovery direct costs</x:v>
      </x:c>
      <x:c r="B18" s="166" t="str">
        <x:v>New Part 2 decision; €1,000 monthly Jun–Dec</x:v>
      </x:c>
      <x:c r="C18" s="169" t="n">
        <x:v>0</x:v>
      </x:c>
      <x:c r="D18" s="169" t="n">
        <x:v>0</x:v>
      </x:c>
      <x:c r="E18" s="169" t="n">
        <x:v>0</x:v>
      </x:c>
      <x:c r="F18" s="169" t="n">
        <x:v>0</x:v>
      </x:c>
      <x:c r="G18" s="169" t="n">
        <x:v>0</x:v>
      </x:c>
      <x:c r="H18" s="169" t="n">
        <x:v>-1000</x:v>
      </x:c>
      <x:c r="I18" s="169" t="n">
        <x:v>-1000</x:v>
      </x:c>
      <x:c r="J18" s="169" t="n">
        <x:v>-1000</x:v>
      </x:c>
      <x:c r="K18" s="169" t="n">
        <x:v>-1000</x:v>
      </x:c>
      <x:c r="L18" s="169" t="n">
        <x:v>-1000</x:v>
      </x:c>
      <x:c r="M18" s="169" t="n">
        <x:v>-1000</x:v>
      </x:c>
      <x:c r="N18" s="169" t="n">
        <x:v>-1000</x:v>
      </x:c>
    </x:row>
    <x:row r="19">
      <x:c r="A19" s="166" t="str">
        <x:v>Internal instructor saving</x:v>
      </x:c>
      <x:c r="B19" s="166" t="str">
        <x:v>Capacity decision; €28,630 annual saving</x:v>
      </x:c>
      <x:c r="C19" s="169" t="n">
        <x:v>2100</x:v>
      </x:c>
      <x:c r="D19" s="169" t="n">
        <x:v>2100</x:v>
      </x:c>
      <x:c r="E19" s="169" t="n">
        <x:v>2800</x:v>
      </x:c>
      <x:c r="F19" s="169" t="n">
        <x:v>2099.5</x:v>
      </x:c>
      <x:c r="G19" s="169" t="n">
        <x:v>2100</x:v>
      </x:c>
      <x:c r="H19" s="169" t="n">
        <x:v>2800</x:v>
      </x:c>
      <x:c r="I19" s="169" t="n">
        <x:v>770</x:v>
      </x:c>
      <x:c r="J19" s="169" t="n">
        <x:v>2310</x:v>
      </x:c>
      <x:c r="K19" s="169" t="n">
        <x:v>3080</x:v>
      </x:c>
      <x:c r="L19" s="169" t="n">
        <x:v>3850</x:v>
      </x:c>
      <x:c r="M19" s="169" t="n">
        <x:v>2310</x:v>
      </x:c>
      <x:c r="N19" s="169" t="n">
        <x:v>2310</x:v>
      </x:c>
    </x:row>
    <x:row r="20">
      <x:c r="A20" s="166" t="str">
        <x:v>Marketing reallocation uplift</x:v>
      </x:c>
      <x:c r="B20" s="166" t="str">
        <x:v>No uplift assumed until measured evidence exists</x:v>
      </x:c>
      <x:c r="C20" s="169" t="n">
        <x:v>0</x:v>
      </x:c>
      <x:c r="D20" s="169" t="n">
        <x:v>0</x:v>
      </x:c>
      <x:c r="E20" s="169" t="n">
        <x:v>0</x:v>
      </x:c>
      <x:c r="F20" s="169" t="n">
        <x:v>0</x:v>
      </x:c>
      <x:c r="G20" s="169" t="n">
        <x:v>0</x:v>
      </x:c>
      <x:c r="H20" s="169" t="n">
        <x:v>0</x:v>
      </x:c>
      <x:c r="I20" s="169" t="n">
        <x:v>0</x:v>
      </x:c>
      <x:c r="J20" s="169" t="n">
        <x:v>0</x:v>
      </x:c>
      <x:c r="K20" s="169" t="n">
        <x:v>0</x:v>
      </x:c>
      <x:c r="L20" s="169" t="n">
        <x:v>0</x:v>
      </x:c>
      <x:c r="M20" s="169" t="n">
        <x:v>0</x:v>
      </x:c>
      <x:c r="N20" s="169" t="n">
        <x:v>0</x:v>
      </x:c>
    </x:row>
    <x:row r="21">
      <x:c r="A21" s="166" t="str">
        <x:v>September assistant booking</x:v>
      </x:c>
      <x:c r="B21" s="166" t="str">
        <x:v>6 assistant-days required; 2 extra days must be individually booked before September</x:v>
      </x:c>
      <x:c r="C21" s="169" t="n">
        <x:v>0</x:v>
      </x:c>
      <x:c r="D21" s="169" t="n">
        <x:v>0</x:v>
      </x:c>
      <x:c r="E21" s="169" t="n">
        <x:v>0</x:v>
      </x:c>
      <x:c r="F21" s="169" t="n">
        <x:v>0</x:v>
      </x:c>
      <x:c r="G21" s="169" t="n">
        <x:v>0</x:v>
      </x:c>
      <x:c r="H21" s="169" t="n">
        <x:v>0</x:v>
      </x:c>
      <x:c r="I21" s="169" t="n">
        <x:v>0</x:v>
      </x:c>
      <x:c r="J21" s="169" t="n">
        <x:v>0</x:v>
      </x:c>
      <x:c r="K21" s="169" t="n">
        <x:v>0</x:v>
      </x:c>
      <x:c r="L21" s="169" t="n">
        <x:v>0</x:v>
      </x:c>
      <x:c r="M21" s="169" t="n">
        <x:v>0</x:v>
      </x:c>
      <x:c r="N21" s="169" t="n">
        <x:v>0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6" hidden="0" customWidth="1"/>
    <x:col min="2" max="2" width="42" hidden="0" customWidth="1"/>
    <x:col min="3" max="3" width="28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</x:cols>
  <x:sheetData>
    <x:row r="1">
      <x:c r="A1" s="172" t="str">
        <x:v>Monthly Comparison</x:v>
      </x:c>
      <x:c r="B1" s="13"/>
      <x:c r="C1" s="13"/>
      <x:c r="D1" s="13"/>
      <x:c r="E1" s="13"/>
      <x:c r="F1" s="13"/>
      <x:c r="G1" s="13"/>
      <x:c r="H1" s="13"/>
      <x:c r="I1" s="13"/>
      <x:c r="J1" s="13"/>
      <x:c r="K1" s="13"/>
      <x:c r="L1" s="13"/>
      <x:c r="M1" s="13"/>
      <x:c r="N1" s="13"/>
      <x:c r="O1" s="13"/>
      <x:c r="P1" s="13"/>
    </x:row>
    <x:row r="2">
      <x:c r="A2" s="164" t="str">
        <x:v>Original draft, Part 1 correction and Part 2 management plan on the same monthly basis.</x:v>
      </x:c>
      <x:c r="B2" s="106"/>
      <x:c r="C2" s="106"/>
      <x:c r="D2" s="106"/>
      <x:c r="E2" s="106"/>
      <x:c r="F2" s="106"/>
      <x:c r="G2" s="106"/>
      <x:c r="H2" s="106"/>
      <x:c r="I2" s="106"/>
      <x:c r="J2" s="106"/>
      <x:c r="K2" s="106"/>
      <x:c r="L2" s="106"/>
      <x:c r="M2" s="106"/>
      <x:c r="N2" s="106"/>
      <x:c r="O2" s="106"/>
      <x:c r="P2" s="106"/>
    </x:row>
    <x:row r="3">
      <x:c r="B3" s="107" t="str">
        <x:v>2026 monthly P&amp;L. EUR excluding VAT. Linked to sheets 08, 10 and 12.</x:v>
      </x:c>
      <x:c r="C3" s="107"/>
      <x:c r="D3" s="107"/>
      <x:c r="E3" s="107"/>
      <x:c r="F3" s="107"/>
      <x:c r="G3" s="107"/>
      <x:c r="H3" s="107"/>
      <x:c r="I3" s="107"/>
      <x:c r="J3" s="107"/>
      <x:c r="K3" s="107"/>
      <x:c r="L3" s="107"/>
      <x:c r="M3" s="107"/>
      <x:c r="N3" s="107"/>
      <x:c r="O3" s="107"/>
      <x:c r="P3" s="107"/>
    </x:row>
    <x:row r="4">
      <x:c r="A4" s="166"/>
      <x:c r="B4" s="194"/>
      <x:c r="C4" s="194"/>
      <x:c r="D4" s="194"/>
      <x:c r="E4" s="194"/>
      <x:c r="F4" s="194"/>
      <x:c r="G4" s="194"/>
      <x:c r="H4" s="194"/>
      <x:c r="I4" s="194"/>
      <x:c r="J4" s="194"/>
      <x:c r="K4" s="194"/>
      <x:c r="L4" s="194"/>
      <x:c r="M4" s="194"/>
      <x:c r="N4" s="194"/>
      <x:c r="O4" s="194"/>
      <x:c r="P4" s="194"/>
    </x:row>
    <x:row r="5">
      <x:c r="A5" s="166"/>
      <x:c r="B5" s="194" t="str">
        <x:v>Part 1 corrects the expected outcome with no new decisions. Part 2 shows the effects of your management decisions.</x:v>
      </x:c>
      <x:c r="C5" s="194"/>
      <x:c r="D5" s="195"/>
      <x:c r="E5" s="195"/>
      <x:c r="F5" s="195"/>
      <x:c r="G5" s="195"/>
      <x:c r="H5" s="195"/>
      <x:c r="I5" s="195"/>
      <x:c r="J5" s="195"/>
      <x:c r="K5" s="195"/>
      <x:c r="L5" s="195"/>
      <x:c r="M5" s="195"/>
      <x:c r="N5" s="195"/>
      <x:c r="O5" s="195"/>
      <x:c r="P5" s="195"/>
    </x:row>
    <x:row r="6">
      <x:c r="A6" s="166"/>
      <x:c r="B6" s="242" t="str">
        <x:v>P&amp;L line</x:v>
      </x:c>
      <x:c r="C6" s="242" t="str">
        <x:v>Version</x:v>
      </x:c>
      <x:c r="D6" s="243" t="str">
        <x:v>Jan</x:v>
      </x:c>
      <x:c r="E6" s="243" t="str">
        <x:v>Feb</x:v>
      </x:c>
      <x:c r="F6" s="243" t="str">
        <x:v>Mar</x:v>
      </x:c>
      <x:c r="G6" s="243" t="str">
        <x:v>Apr</x:v>
      </x:c>
      <x:c r="H6" s="243" t="str">
        <x:v>May</x:v>
      </x:c>
      <x:c r="I6" s="243" t="str">
        <x:v>Jun</x:v>
      </x:c>
      <x:c r="J6" s="243" t="str">
        <x:v>Jul</x:v>
      </x:c>
      <x:c r="K6" s="243" t="str">
        <x:v>Aug</x:v>
      </x:c>
      <x:c r="L6" s="243" t="str">
        <x:v>Sep</x:v>
      </x:c>
      <x:c r="M6" s="243" t="str">
        <x:v>Oct</x:v>
      </x:c>
      <x:c r="N6" s="243" t="str">
        <x:v>Nov</x:v>
      </x:c>
      <x:c r="O6" s="243" t="str">
        <x:v>Dec</x:v>
      </x:c>
      <x:c r="P6" s="243" t="str">
        <x:v>FY Total</x:v>
      </x:c>
    </x:row>
    <x:row r="7" ht="24" customHeight="1">
      <x:c r="A7" s="166"/>
      <x:c r="B7" s="289" t="str">
        <x:v>Revenue</x:v>
      </x:c>
      <x:c r="C7" s="289" t="str">
        <x:v>Original draft</x:v>
      </x:c>
      <x:c r="D7" s="301" t="n">
        <x:f>'08 Draft P&amp;L'!D7</x:f>
        <x:v>55500</x:v>
      </x:c>
      <x:c r="E7" s="301" t="n">
        <x:f>'08 Draft P&amp;L'!E7</x:f>
        <x:v>63000</x:v>
      </x:c>
      <x:c r="F7" s="301" t="n">
        <x:f>'08 Draft P&amp;L'!F7</x:f>
        <x:v>69500</x:v>
      </x:c>
      <x:c r="G7" s="301" t="n">
        <x:f>'08 Draft P&amp;L'!G7</x:f>
        <x:v>80500</x:v>
      </x:c>
      <x:c r="H7" s="301" t="n">
        <x:f>'08 Draft P&amp;L'!H7</x:f>
        <x:v>68000</x:v>
      </x:c>
      <x:c r="I7" s="301" t="n">
        <x:f>'08 Draft P&amp;L'!I7</x:f>
        <x:v>73500</x:v>
      </x:c>
      <x:c r="J7" s="301" t="n">
        <x:f>'08 Draft P&amp;L'!J7</x:f>
        <x:v>60000</x:v>
      </x:c>
      <x:c r="K7" s="301" t="n">
        <x:f>'08 Draft P&amp;L'!K7</x:f>
        <x:v>91500</x:v>
      </x:c>
      <x:c r="L7" s="301" t="n">
        <x:f>'08 Draft P&amp;L'!L7</x:f>
        <x:v>113500</x:v>
      </x:c>
      <x:c r="M7" s="301" t="n">
        <x:f>'08 Draft P&amp;L'!M7</x:f>
        <x:v>124000</x:v>
      </x:c>
      <x:c r="N7" s="301" t="n">
        <x:f>'08 Draft P&amp;L'!N7</x:f>
        <x:v>103500</x:v>
      </x:c>
      <x:c r="O7" s="301" t="n">
        <x:f>'08 Draft P&amp;L'!O7</x:f>
        <x:v>87000</x:v>
      </x:c>
      <x:c r="P7" s="302" t="n">
        <x:f>SUM(D7:O7)</x:f>
        <x:v>989500</x:v>
      </x:c>
    </x:row>
    <x:row r="8" ht="24" customHeight="1">
      <x:c r="A8" s="166"/>
      <x:c r="B8" s="292"/>
      <x:c r="C8" s="292" t="str">
        <x:v>Part 1 Red-pencil correction</x:v>
      </x:c>
      <x:c r="D8" s="303" t="n">
        <x:f>'10 Corrected Budget'!D5</x:f>
        <x:v>8600</x:v>
      </x:c>
      <x:c r="E8" s="303" t="n">
        <x:f>'10 Corrected Budget'!E5</x:f>
        <x:v>12700</x:v>
      </x:c>
      <x:c r="F8" s="303" t="n">
        <x:f>'10 Corrected Budget'!F5</x:f>
        <x:v>15000</x:v>
      </x:c>
      <x:c r="G8" s="303" t="n">
        <x:f>'10 Corrected Budget'!G5</x:f>
        <x:v>12050</x:v>
      </x:c>
      <x:c r="H8" s="303" t="n">
        <x:f>'10 Corrected Budget'!H5</x:f>
        <x:v>13300</x:v>
      </x:c>
      <x:c r="I8" s="303" t="n">
        <x:f>'10 Corrected Budget'!I5</x:f>
        <x:v>12750</x:v>
      </x:c>
      <x:c r="J8" s="303" t="n">
        <x:f>'10 Corrected Budget'!J5</x:f>
        <x:v>2500</x:v>
      </x:c>
      <x:c r="K8" s="303" t="n">
        <x:f>'10 Corrected Budget'!K5</x:f>
        <x:v>9000</x:v>
      </x:c>
      <x:c r="L8" s="303" t="n">
        <x:f>'10 Corrected Budget'!L5</x:f>
        <x:v>17000</x:v>
      </x:c>
      <x:c r="M8" s="303" t="n">
        <x:f>'10 Corrected Budget'!M5</x:f>
        <x:v>19450</x:v>
      </x:c>
      <x:c r="N8" s="303" t="n">
        <x:f>'10 Corrected Budget'!N5</x:f>
        <x:v>16800</x:v>
      </x:c>
      <x:c r="O8" s="303" t="n">
        <x:f>'10 Corrected Budget'!O5</x:f>
        <x:v>7500</x:v>
      </x:c>
      <x:c r="P8" s="304" t="n">
        <x:f>SUM(D8:O8)</x:f>
        <x:v>146650</x:v>
      </x:c>
    </x:row>
    <x:row r="9" ht="24" customHeight="1">
      <x:c r="A9" s="166"/>
      <x:c r="B9" s="295"/>
      <x:c r="C9" s="295" t="str">
        <x:v>Part 2 Management plan</x:v>
      </x:c>
      <x:c r="D9" s="305" t="n">
        <x:f>'12 Management Budget'!D5</x:f>
        <x:v>8600</x:v>
      </x:c>
      <x:c r="E9" s="305" t="n">
        <x:f>'12 Management Budget'!E5</x:f>
        <x:v>12700</x:v>
      </x:c>
      <x:c r="F9" s="305" t="n">
        <x:f>'12 Management Budget'!F5</x:f>
        <x:v>15000</x:v>
      </x:c>
      <x:c r="G9" s="305" t="n">
        <x:f>'12 Management Budget'!G5</x:f>
        <x:v>12050</x:v>
      </x:c>
      <x:c r="H9" s="305" t="n">
        <x:f>'12 Management Budget'!H5</x:f>
        <x:v>13300</x:v>
      </x:c>
      <x:c r="I9" s="305" t="n">
        <x:f>'12 Management Budget'!I5</x:f>
        <x:v>22750</x:v>
      </x:c>
      <x:c r="J9" s="305" t="n">
        <x:f>'12 Management Budget'!J5</x:f>
        <x:v>12500</x:v>
      </x:c>
      <x:c r="K9" s="305" t="n">
        <x:f>'12 Management Budget'!K5</x:f>
        <x:v>19000</x:v>
      </x:c>
      <x:c r="L9" s="305" t="n">
        <x:f>'12 Management Budget'!L5</x:f>
        <x:v>27000</x:v>
      </x:c>
      <x:c r="M9" s="305" t="n">
        <x:f>'12 Management Budget'!M5</x:f>
        <x:v>29450</x:v>
      </x:c>
      <x:c r="N9" s="305" t="n">
        <x:f>'12 Management Budget'!N5</x:f>
        <x:v>26800</x:v>
      </x:c>
      <x:c r="O9" s="305" t="n">
        <x:f>'12 Management Budget'!O5</x:f>
        <x:v>17500</x:v>
      </x:c>
      <x:c r="P9" s="306" t="n">
        <x:f>SUM(D9:O9)</x:f>
        <x:v>216650</x:v>
      </x:c>
    </x:row>
    <x:row r="10" ht="24" customHeight="1">
      <x:c r="A10" s="166"/>
      <x:c r="B10" s="166"/>
      <x:c r="C10" s="166"/>
      <x:c r="D10" s="169"/>
      <x:c r="E10" s="169"/>
      <x:c r="F10" s="169"/>
      <x:c r="G10" s="169"/>
      <x:c r="H10" s="169"/>
      <x:c r="I10" s="169"/>
      <x:c r="J10" s="169"/>
      <x:c r="K10" s="169"/>
      <x:c r="L10" s="169"/>
      <x:c r="M10" s="169"/>
      <x:c r="N10" s="169"/>
      <x:c r="O10" s="169"/>
      <x:c r="P10" s="206"/>
    </x:row>
    <x:row r="11" ht="24" customHeight="1">
      <x:c r="A11" s="166"/>
      <x:c r="B11" s="289" t="str">
        <x:v>Direct delivery costs</x:v>
      </x:c>
      <x:c r="C11" s="289" t="str">
        <x:v>Original draft</x:v>
      </x:c>
      <x:c r="D11" s="301" t="n">
        <x:f>'08 Draft P&amp;L'!D8</x:f>
        <x:v>-4000</x:v>
      </x:c>
      <x:c r="E11" s="301" t="n">
        <x:f>'08 Draft P&amp;L'!E8</x:f>
        <x:v>-5955</x:v>
      </x:c>
      <x:c r="F11" s="301" t="n">
        <x:f>'08 Draft P&amp;L'!F8</x:f>
        <x:v>-6250</x:v>
      </x:c>
      <x:c r="G11" s="301" t="n">
        <x:f>'08 Draft P&amp;L'!G8</x:f>
        <x:v>-6152.5</x:v>
      </x:c>
      <x:c r="H11" s="301" t="n">
        <x:f>'08 Draft P&amp;L'!H8</x:f>
        <x:v>-4805</x:v>
      </x:c>
      <x:c r="I11" s="301" t="n">
        <x:f>'08 Draft P&amp;L'!I8</x:f>
        <x:v>-8025</x:v>
      </x:c>
      <x:c r="J11" s="301" t="n">
        <x:f>'08 Draft P&amp;L'!J8</x:f>
        <x:v>-1125</x:v>
      </x:c>
      <x:c r="K11" s="301" t="n">
        <x:f>'08 Draft P&amp;L'!K8</x:f>
        <x:v>-4550</x:v>
      </x:c>
      <x:c r="L11" s="301" t="n">
        <x:f>'08 Draft P&amp;L'!L8</x:f>
        <x:v>-13770</x:v>
      </x:c>
      <x:c r="M11" s="301" t="n">
        <x:f>'08 Draft P&amp;L'!M8</x:f>
        <x:v>-8497.5</x:v>
      </x:c>
      <x:c r="N11" s="301" t="n">
        <x:f>'08 Draft P&amp;L'!N8</x:f>
        <x:v>-10240</x:v>
      </x:c>
      <x:c r="O11" s="301" t="n">
        <x:f>'08 Draft P&amp;L'!O8</x:f>
        <x:v>-3825</x:v>
      </x:c>
      <x:c r="P11" s="302" t="n">
        <x:f>SUM(D11:O11)</x:f>
        <x:v>-77195</x:v>
      </x:c>
    </x:row>
    <x:row r="12" ht="24" customHeight="1">
      <x:c r="A12" s="166"/>
      <x:c r="B12" s="292"/>
      <x:c r="C12" s="292" t="str">
        <x:v>Part 1 Red-pencil correction</x:v>
      </x:c>
      <x:c r="D12" s="303" t="n">
        <x:f>'10 Corrected Budget'!D6</x:f>
        <x:v>-4000</x:v>
      </x:c>
      <x:c r="E12" s="303" t="n">
        <x:f>'10 Corrected Budget'!E6</x:f>
        <x:v>-5955</x:v>
      </x:c>
      <x:c r="F12" s="303" t="n">
        <x:f>'10 Corrected Budget'!F6</x:f>
        <x:v>-6250</x:v>
      </x:c>
      <x:c r="G12" s="303" t="n">
        <x:f>'10 Corrected Budget'!G6</x:f>
        <x:v>-6152.5</x:v>
      </x:c>
      <x:c r="H12" s="303" t="n">
        <x:f>'10 Corrected Budget'!H6</x:f>
        <x:v>-4805</x:v>
      </x:c>
      <x:c r="I12" s="303" t="n">
        <x:f>'10 Corrected Budget'!I6</x:f>
        <x:v>-8025</x:v>
      </x:c>
      <x:c r="J12" s="303" t="n">
        <x:f>'10 Corrected Budget'!J6</x:f>
        <x:v>-1195</x:v>
      </x:c>
      <x:c r="K12" s="303" t="n">
        <x:f>'10 Corrected Budget'!K6</x:f>
        <x:v>-4760</x:v>
      </x:c>
      <x:c r="L12" s="303" t="n">
        <x:f>'10 Corrected Budget'!L6</x:f>
        <x:v>-6735</x:v>
      </x:c>
      <x:c r="M12" s="303" t="n">
        <x:f>'10 Corrected Budget'!M6</x:f>
        <x:v>-8865</x:v>
      </x:c>
      <x:c r="N12" s="303" t="n">
        <x:f>'10 Corrected Budget'!N6</x:f>
        <x:v>-8090</x:v>
      </x:c>
      <x:c r="O12" s="303" t="n">
        <x:f>'10 Corrected Budget'!O6</x:f>
        <x:v>-4035</x:v>
      </x:c>
      <x:c r="P12" s="304" t="n">
        <x:f>SUM(D12:O12)</x:f>
        <x:v>-68867.5</x:v>
      </x:c>
    </x:row>
    <x:row r="13" ht="24" customHeight="1">
      <x:c r="A13" s="166"/>
      <x:c r="B13" s="295"/>
      <x:c r="C13" s="295" t="str">
        <x:v>Part 2 Management plan</x:v>
      </x:c>
      <x:c r="D13" s="305" t="n">
        <x:f>'12 Management Budget'!D6</x:f>
        <x:v>-1900</x:v>
      </x:c>
      <x:c r="E13" s="305" t="n">
        <x:f>'12 Management Budget'!E6</x:f>
        <x:v>-3855</x:v>
      </x:c>
      <x:c r="F13" s="305" t="n">
        <x:f>'12 Management Budget'!F6</x:f>
        <x:v>-3450</x:v>
      </x:c>
      <x:c r="G13" s="305" t="n">
        <x:f>'12 Management Budget'!G6</x:f>
        <x:v>-4053</x:v>
      </x:c>
      <x:c r="H13" s="305" t="n">
        <x:f>'12 Management Budget'!H6</x:f>
        <x:v>-2705</x:v>
      </x:c>
      <x:c r="I13" s="305" t="n">
        <x:f>'12 Management Budget'!I6</x:f>
        <x:v>-6225</x:v>
      </x:c>
      <x:c r="J13" s="305" t="n">
        <x:f>'12 Management Budget'!J6</x:f>
        <x:v>-1425</x:v>
      </x:c>
      <x:c r="K13" s="305" t="n">
        <x:f>'12 Management Budget'!K6</x:f>
        <x:v>-3450</x:v>
      </x:c>
      <x:c r="L13" s="305" t="n">
        <x:f>'12 Management Budget'!L6</x:f>
        <x:v>-4655</x:v>
      </x:c>
      <x:c r="M13" s="305" t="n">
        <x:f>'12 Management Budget'!M6</x:f>
        <x:v>-6015</x:v>
      </x:c>
      <x:c r="N13" s="305" t="n">
        <x:f>'12 Management Budget'!N6</x:f>
        <x:v>-6780</x:v>
      </x:c>
      <x:c r="O13" s="305" t="n">
        <x:f>'12 Management Budget'!O6</x:f>
        <x:v>-2725</x:v>
      </x:c>
      <x:c r="P13" s="306" t="n">
        <x:f>SUM(D13:O13)</x:f>
        <x:v>-47238</x:v>
      </x:c>
    </x:row>
    <x:row r="14" ht="24" customHeight="1">
      <x:c r="A14" s="166"/>
      <x:c r="B14" s="166"/>
      <x:c r="C14" s="166"/>
      <x:c r="D14" s="169"/>
      <x:c r="E14" s="169"/>
      <x:c r="F14" s="169"/>
      <x:c r="G14" s="169"/>
      <x:c r="H14" s="169"/>
      <x:c r="I14" s="169"/>
      <x:c r="J14" s="169"/>
      <x:c r="K14" s="169"/>
      <x:c r="L14" s="169"/>
      <x:c r="M14" s="169"/>
      <x:c r="N14" s="169"/>
      <x:c r="O14" s="169"/>
      <x:c r="P14" s="206"/>
    </x:row>
    <x:row r="15" ht="24" customHeight="1">
      <x:c r="A15" s="166"/>
      <x:c r="B15" s="289" t="str">
        <x:v>Contribution</x:v>
      </x:c>
      <x:c r="C15" s="289" t="str">
        <x:v>Original draft</x:v>
      </x:c>
      <x:c r="D15" s="301" t="n">
        <x:f>'08 Draft P&amp;L'!D9</x:f>
        <x:v>51500</x:v>
      </x:c>
      <x:c r="E15" s="301" t="n">
        <x:f>'08 Draft P&amp;L'!E9</x:f>
        <x:v>57045</x:v>
      </x:c>
      <x:c r="F15" s="301" t="n">
        <x:f>'08 Draft P&amp;L'!F9</x:f>
        <x:v>63250</x:v>
      </x:c>
      <x:c r="G15" s="301" t="n">
        <x:f>'08 Draft P&amp;L'!G9</x:f>
        <x:v>74347.5</x:v>
      </x:c>
      <x:c r="H15" s="301" t="n">
        <x:f>'08 Draft P&amp;L'!H9</x:f>
        <x:v>63195</x:v>
      </x:c>
      <x:c r="I15" s="301" t="n">
        <x:f>'08 Draft P&amp;L'!I9</x:f>
        <x:v>65475</x:v>
      </x:c>
      <x:c r="J15" s="301" t="n">
        <x:f>'08 Draft P&amp;L'!J9</x:f>
        <x:v>58875</x:v>
      </x:c>
      <x:c r="K15" s="301" t="n">
        <x:f>'08 Draft P&amp;L'!K9</x:f>
        <x:v>86950</x:v>
      </x:c>
      <x:c r="L15" s="301" t="n">
        <x:f>'08 Draft P&amp;L'!L9</x:f>
        <x:v>99730</x:v>
      </x:c>
      <x:c r="M15" s="301" t="n">
        <x:f>'08 Draft P&amp;L'!M9</x:f>
        <x:v>115502.5</x:v>
      </x:c>
      <x:c r="N15" s="301" t="n">
        <x:f>'08 Draft P&amp;L'!N9</x:f>
        <x:v>93260</x:v>
      </x:c>
      <x:c r="O15" s="301" t="n">
        <x:f>'08 Draft P&amp;L'!O9</x:f>
        <x:v>83175</x:v>
      </x:c>
      <x:c r="P15" s="302" t="n">
        <x:f>SUM(D15:O15)</x:f>
        <x:v>912305</x:v>
      </x:c>
    </x:row>
    <x:row r="16" ht="24" customHeight="1">
      <x:c r="A16" s="166"/>
      <x:c r="B16" s="292"/>
      <x:c r="C16" s="292" t="str">
        <x:v>Part 1 Red-pencil correction</x:v>
      </x:c>
      <x:c r="D16" s="303" t="n">
        <x:f>'10 Corrected Budget'!D7</x:f>
        <x:v>4600</x:v>
      </x:c>
      <x:c r="E16" s="303" t="n">
        <x:f>'10 Corrected Budget'!E7</x:f>
        <x:v>6745</x:v>
      </x:c>
      <x:c r="F16" s="303" t="n">
        <x:f>'10 Corrected Budget'!F7</x:f>
        <x:v>8750</x:v>
      </x:c>
      <x:c r="G16" s="303" t="n">
        <x:f>'10 Corrected Budget'!G7</x:f>
        <x:v>5897.5</x:v>
      </x:c>
      <x:c r="H16" s="303" t="n">
        <x:f>'10 Corrected Budget'!H7</x:f>
        <x:v>8495</x:v>
      </x:c>
      <x:c r="I16" s="303" t="n">
        <x:f>'10 Corrected Budget'!I7</x:f>
        <x:v>4725</x:v>
      </x:c>
      <x:c r="J16" s="303" t="n">
        <x:f>'10 Corrected Budget'!J7</x:f>
        <x:v>1305</x:v>
      </x:c>
      <x:c r="K16" s="303" t="n">
        <x:f>'10 Corrected Budget'!K7</x:f>
        <x:v>4240</x:v>
      </x:c>
      <x:c r="L16" s="303" t="n">
        <x:f>'10 Corrected Budget'!L7</x:f>
        <x:v>10265</x:v>
      </x:c>
      <x:c r="M16" s="303" t="n">
        <x:f>'10 Corrected Budget'!M7</x:f>
        <x:v>10585</x:v>
      </x:c>
      <x:c r="N16" s="303" t="n">
        <x:f>'10 Corrected Budget'!N7</x:f>
        <x:v>8710</x:v>
      </x:c>
      <x:c r="O16" s="303" t="n">
        <x:f>'10 Corrected Budget'!O7</x:f>
        <x:v>3465</x:v>
      </x:c>
      <x:c r="P16" s="304" t="n">
        <x:f>SUM(D16:O16)</x:f>
        <x:v>77782.5</x:v>
      </x:c>
    </x:row>
    <x:row r="17" ht="24" customHeight="1">
      <x:c r="A17" s="166"/>
      <x:c r="B17" s="295"/>
      <x:c r="C17" s="295" t="str">
        <x:v>Part 2 Management plan</x:v>
      </x:c>
      <x:c r="D17" s="305" t="n">
        <x:f>'12 Management Budget'!D7</x:f>
        <x:v>6700</x:v>
      </x:c>
      <x:c r="E17" s="305" t="n">
        <x:f>'12 Management Budget'!E7</x:f>
        <x:v>8845</x:v>
      </x:c>
      <x:c r="F17" s="305" t="n">
        <x:f>'12 Management Budget'!F7</x:f>
        <x:v>11550</x:v>
      </x:c>
      <x:c r="G17" s="305" t="n">
        <x:f>'12 Management Budget'!G7</x:f>
        <x:v>7997</x:v>
      </x:c>
      <x:c r="H17" s="305" t="n">
        <x:f>'12 Management Budget'!H7</x:f>
        <x:v>10595</x:v>
      </x:c>
      <x:c r="I17" s="305" t="n">
        <x:f>'12 Management Budget'!I7</x:f>
        <x:v>16525</x:v>
      </x:c>
      <x:c r="J17" s="305" t="n">
        <x:f>'12 Management Budget'!J7</x:f>
        <x:v>11075</x:v>
      </x:c>
      <x:c r="K17" s="305" t="n">
        <x:f>'12 Management Budget'!K7</x:f>
        <x:v>15550</x:v>
      </x:c>
      <x:c r="L17" s="305" t="n">
        <x:f>'12 Management Budget'!L7</x:f>
        <x:v>22345</x:v>
      </x:c>
      <x:c r="M17" s="305" t="n">
        <x:f>'12 Management Budget'!M7</x:f>
        <x:v>23435</x:v>
      </x:c>
      <x:c r="N17" s="305" t="n">
        <x:f>'12 Management Budget'!N7</x:f>
        <x:v>20020</x:v>
      </x:c>
      <x:c r="O17" s="305" t="n">
        <x:f>'12 Management Budget'!O7</x:f>
        <x:v>14775</x:v>
      </x:c>
      <x:c r="P17" s="306" t="n">
        <x:f>SUM(D17:O17)</x:f>
        <x:v>169412</x:v>
      </x:c>
    </x:row>
    <x:row r="18" ht="24" customHeight="1">
      <x:c r="A18" s="166"/>
      <x:c r="B18" s="166"/>
      <x:c r="C18" s="166"/>
      <x:c r="D18" s="169"/>
      <x:c r="E18" s="169"/>
      <x:c r="F18" s="169"/>
      <x:c r="G18" s="169"/>
      <x:c r="H18" s="169"/>
      <x:c r="I18" s="169"/>
      <x:c r="J18" s="169"/>
      <x:c r="K18" s="169"/>
      <x:c r="L18" s="169"/>
      <x:c r="M18" s="169"/>
      <x:c r="N18" s="169"/>
      <x:c r="O18" s="169"/>
      <x:c r="P18" s="206"/>
    </x:row>
    <x:row r="19" ht="24" customHeight="1">
      <x:c r="A19" s="166"/>
      <x:c r="B19" s="289" t="str">
        <x:v>Operating expenses</x:v>
      </x:c>
      <x:c r="C19" s="289" t="str">
        <x:v>Original draft</x:v>
      </x:c>
      <x:c r="D19" s="301" t="n">
        <x:f>'08 Draft P&amp;L'!D11</x:f>
        <x:v>-24725</x:v>
      </x:c>
      <x:c r="E19" s="301" t="n">
        <x:f>'08 Draft P&amp;L'!E11</x:f>
        <x:v>-24225</x:v>
      </x:c>
      <x:c r="F19" s="301" t="n">
        <x:f>'08 Draft P&amp;L'!F11</x:f>
        <x:v>-24225</x:v>
      </x:c>
      <x:c r="G19" s="301" t="n">
        <x:f>'08 Draft P&amp;L'!G11</x:f>
        <x:v>-25525</x:v>
      </x:c>
      <x:c r="H19" s="301" t="n">
        <x:f>'08 Draft P&amp;L'!H11</x:f>
        <x:v>-23225</x:v>
      </x:c>
      <x:c r="I19" s="301" t="n">
        <x:f>'08 Draft P&amp;L'!I11</x:f>
        <x:v>-22725</x:v>
      </x:c>
      <x:c r="J19" s="301" t="n">
        <x:f>'08 Draft P&amp;L'!J11</x:f>
        <x:v>-21225</x:v>
      </x:c>
      <x:c r="K19" s="301" t="n">
        <x:f>'08 Draft P&amp;L'!K11</x:f>
        <x:v>-22225</x:v>
      </x:c>
      <x:c r="L19" s="301" t="n">
        <x:f>'08 Draft P&amp;L'!L11</x:f>
        <x:v>-24725</x:v>
      </x:c>
      <x:c r="M19" s="301" t="n">
        <x:f>'08 Draft P&amp;L'!M11</x:f>
        <x:v>-25225</x:v>
      </x:c>
      <x:c r="N19" s="301" t="n">
        <x:f>'08 Draft P&amp;L'!N11</x:f>
        <x:v>-24225</x:v>
      </x:c>
      <x:c r="O19" s="301" t="n">
        <x:f>'08 Draft P&amp;L'!O11</x:f>
        <x:v>-22725</x:v>
      </x:c>
      <x:c r="P19" s="302" t="n">
        <x:f>SUM(D19:O19)</x:f>
        <x:v>-285000</x:v>
      </x:c>
    </x:row>
    <x:row r="20" ht="24" customHeight="1">
      <x:c r="A20" s="166"/>
      <x:c r="B20" s="292"/>
      <x:c r="C20" s="292" t="str">
        <x:v>Part 1 Red-pencil correction</x:v>
      </x:c>
      <x:c r="D20" s="303" t="n">
        <x:f>'10 Corrected Budget'!D9</x:f>
        <x:v>-24725</x:v>
      </x:c>
      <x:c r="E20" s="303" t="n">
        <x:f>'10 Corrected Budget'!E9</x:f>
        <x:v>-24225</x:v>
      </x:c>
      <x:c r="F20" s="303" t="n">
        <x:f>'10 Corrected Budget'!F9</x:f>
        <x:v>-21975</x:v>
      </x:c>
      <x:c r="G20" s="303" t="n">
        <x:f>'10 Corrected Budget'!G9</x:f>
        <x:v>-23275</x:v>
      </x:c>
      <x:c r="H20" s="303" t="n">
        <x:f>'10 Corrected Budget'!H9</x:f>
        <x:v>-23641.67</x:v>
      </x:c>
      <x:c r="I20" s="303" t="n">
        <x:f>'10 Corrected Budget'!I9</x:f>
        <x:v>-23141.67</x:v>
      </x:c>
      <x:c r="J20" s="303" t="n">
        <x:f>'10 Corrected Budget'!J9</x:f>
        <x:v>-21641.67</x:v>
      </x:c>
      <x:c r="K20" s="303" t="n">
        <x:f>'10 Corrected Budget'!K9</x:f>
        <x:v>-22641.67</x:v>
      </x:c>
      <x:c r="L20" s="303" t="n">
        <x:f>'10 Corrected Budget'!L9</x:f>
        <x:v>-25141.67</x:v>
      </x:c>
      <x:c r="M20" s="303" t="n">
        <x:f>'10 Corrected Budget'!M9</x:f>
        <x:v>-25641.67</x:v>
      </x:c>
      <x:c r="N20" s="303" t="n">
        <x:f>'10 Corrected Budget'!N9</x:f>
        <x:v>-24641.67</x:v>
      </x:c>
      <x:c r="O20" s="303" t="n">
        <x:f>'10 Corrected Budget'!O9</x:f>
        <x:v>-23141.67</x:v>
      </x:c>
      <x:c r="P20" s="304" t="n">
        <x:f>SUM(D20:O20)</x:f>
        <x:v>-283833.3599999999</x:v>
      </x:c>
    </x:row>
    <x:row r="21" ht="24" customHeight="1">
      <x:c r="A21" s="166"/>
      <x:c r="B21" s="295"/>
      <x:c r="C21" s="295" t="str">
        <x:v>Part 2 Management plan</x:v>
      </x:c>
      <x:c r="D21" s="305" t="n">
        <x:f>'12 Management Budget'!D9</x:f>
        <x:v>-24725</x:v>
      </x:c>
      <x:c r="E21" s="305" t="n">
        <x:f>'12 Management Budget'!E9</x:f>
        <x:v>-24225</x:v>
      </x:c>
      <x:c r="F21" s="305" t="n">
        <x:f>'12 Management Budget'!F9</x:f>
        <x:v>-21975</x:v>
      </x:c>
      <x:c r="G21" s="305" t="n">
        <x:f>'12 Management Budget'!G9</x:f>
        <x:v>-23275</x:v>
      </x:c>
      <x:c r="H21" s="305" t="n">
        <x:f>'12 Management Budget'!H9</x:f>
        <x:v>-23641.67</x:v>
      </x:c>
      <x:c r="I21" s="305" t="n">
        <x:f>'12 Management Budget'!I9</x:f>
        <x:v>-23141.67</x:v>
      </x:c>
      <x:c r="J21" s="305" t="n">
        <x:f>'12 Management Budget'!J9</x:f>
        <x:v>-21641.67</x:v>
      </x:c>
      <x:c r="K21" s="305" t="n">
        <x:f>'12 Management Budget'!K9</x:f>
        <x:v>-22641.67</x:v>
      </x:c>
      <x:c r="L21" s="305" t="n">
        <x:f>'12 Management Budget'!L9</x:f>
        <x:v>-25141.67</x:v>
      </x:c>
      <x:c r="M21" s="305" t="n">
        <x:f>'12 Management Budget'!M9</x:f>
        <x:v>-25641.67</x:v>
      </x:c>
      <x:c r="N21" s="305" t="n">
        <x:f>'12 Management Budget'!N9</x:f>
        <x:v>-24641.67</x:v>
      </x:c>
      <x:c r="O21" s="305" t="n">
        <x:f>'12 Management Budget'!O9</x:f>
        <x:v>-23141.67</x:v>
      </x:c>
      <x:c r="P21" s="306" t="n">
        <x:f>SUM(D21:O21)</x:f>
        <x:v>-283833.3599999999</x:v>
      </x:c>
    </x:row>
    <x:row r="22" ht="24" customHeight="1">
      <x:c r="A22" s="166"/>
      <x:c r="B22" s="166"/>
      <x:c r="C22" s="166"/>
      <x:c r="D22" s="169"/>
      <x:c r="E22" s="169"/>
      <x:c r="F22" s="169"/>
      <x:c r="G22" s="169"/>
      <x:c r="H22" s="169"/>
      <x:c r="I22" s="169"/>
      <x:c r="J22" s="169"/>
      <x:c r="K22" s="169"/>
      <x:c r="L22" s="169"/>
      <x:c r="M22" s="169"/>
      <x:c r="N22" s="169"/>
      <x:c r="O22" s="169"/>
      <x:c r="P22" s="206"/>
    </x:row>
    <x:row r="23" ht="24" customHeight="1">
      <x:c r="A23" s="166"/>
      <x:c r="B23" s="300" t="str">
        <x:v>Operating result</x:v>
      </x:c>
      <x:c r="C23" s="300" t="str">
        <x:v>Original draft</x:v>
      </x:c>
      <x:c r="D23" s="302" t="n">
        <x:f>'08 Draft P&amp;L'!D12</x:f>
        <x:v>26775</x:v>
      </x:c>
      <x:c r="E23" s="302" t="n">
        <x:f>'08 Draft P&amp;L'!E12</x:f>
        <x:v>32820</x:v>
      </x:c>
      <x:c r="F23" s="302" t="n">
        <x:f>'08 Draft P&amp;L'!F12</x:f>
        <x:v>39025</x:v>
      </x:c>
      <x:c r="G23" s="302" t="n">
        <x:f>'08 Draft P&amp;L'!G12</x:f>
        <x:v>48822.5</x:v>
      </x:c>
      <x:c r="H23" s="302" t="n">
        <x:f>'08 Draft P&amp;L'!H12</x:f>
        <x:v>39970</x:v>
      </x:c>
      <x:c r="I23" s="302" t="n">
        <x:f>'08 Draft P&amp;L'!I12</x:f>
        <x:v>42750</x:v>
      </x:c>
      <x:c r="J23" s="302" t="n">
        <x:f>'08 Draft P&amp;L'!J12</x:f>
        <x:v>37650</x:v>
      </x:c>
      <x:c r="K23" s="302" t="n">
        <x:f>'08 Draft P&amp;L'!K12</x:f>
        <x:v>64725</x:v>
      </x:c>
      <x:c r="L23" s="302" t="n">
        <x:f>'08 Draft P&amp;L'!L12</x:f>
        <x:v>75005</x:v>
      </x:c>
      <x:c r="M23" s="302" t="n">
        <x:f>'08 Draft P&amp;L'!M12</x:f>
        <x:v>90277.5</x:v>
      </x:c>
      <x:c r="N23" s="302" t="n">
        <x:f>'08 Draft P&amp;L'!N12</x:f>
        <x:v>69035</x:v>
      </x:c>
      <x:c r="O23" s="302" t="n">
        <x:f>'08 Draft P&amp;L'!O12</x:f>
        <x:v>60450</x:v>
      </x:c>
      <x:c r="P23" s="302" t="n">
        <x:f>SUM(D23:O23)</x:f>
        <x:v>627305</x:v>
      </x:c>
    </x:row>
    <x:row r="24" ht="24" customHeight="1">
      <x:c r="B24" s="152"/>
      <x:c r="C24" s="161" t="str">
        <x:v>Part 1 Red-pencil correction</x:v>
      </x:c>
      <x:c r="D24" s="153" t="n">
        <x:f>'10 Corrected Budget'!D10</x:f>
        <x:v>-20125</x:v>
      </x:c>
      <x:c r="E24" s="153" t="n">
        <x:f>'10 Corrected Budget'!E10</x:f>
        <x:v>-17480</x:v>
      </x:c>
      <x:c r="F24" s="153" t="n">
        <x:f>'10 Corrected Budget'!F10</x:f>
        <x:v>-13225</x:v>
      </x:c>
      <x:c r="G24" s="153" t="n">
        <x:f>'10 Corrected Budget'!G10</x:f>
        <x:v>-17377.5</x:v>
      </x:c>
      <x:c r="H24" s="153" t="n">
        <x:f>'10 Corrected Budget'!H10</x:f>
        <x:v>-15146.669999999998</x:v>
      </x:c>
      <x:c r="I24" s="153" t="n">
        <x:f>'10 Corrected Budget'!I10</x:f>
        <x:v>-18416.67</x:v>
      </x:c>
      <x:c r="J24" s="153" t="n">
        <x:f>'10 Corrected Budget'!J10</x:f>
        <x:v>-20336.67</x:v>
      </x:c>
      <x:c r="K24" s="153" t="n">
        <x:f>'10 Corrected Budget'!K10</x:f>
        <x:v>-18401.67</x:v>
      </x:c>
      <x:c r="L24" s="153" t="n">
        <x:f>'10 Corrected Budget'!L10</x:f>
        <x:v>-14876.669999999998</x:v>
      </x:c>
      <x:c r="M24" s="153" t="n">
        <x:f>'10 Corrected Budget'!M10</x:f>
        <x:v>-15056.669999999998</x:v>
      </x:c>
      <x:c r="N24" s="153" t="n">
        <x:f>'10 Corrected Budget'!N10</x:f>
        <x:v>-15931.669999999998</x:v>
      </x:c>
      <x:c r="O24" s="153" t="n">
        <x:f>'10 Corrected Budget'!O10</x:f>
        <x:v>-19676.67</x:v>
      </x:c>
      <x:c r="P24" s="153" t="n">
        <x:f>SUM(D24:O24)</x:f>
        <x:v>-206050.85999999993</x:v>
      </x:c>
    </x:row>
    <x:row r="25" ht="24" customHeight="1">
      <x:c r="A25" s="315" t="str">
        <x:v>Cost reconciliation</x:v>
      </x:c>
      <x:c r="B25" s="315" t="str"/>
      <x:c r="C25" s="162" t="str">
        <x:v>Part 2 Management plan</x:v>
      </x:c>
      <x:c r="D25" s="155" t="n">
        <x:f>'12 Management Budget'!D10</x:f>
        <x:v>-18025</x:v>
      </x:c>
      <x:c r="E25" s="155" t="n">
        <x:f>'12 Management Budget'!E10</x:f>
        <x:v>-15380</x:v>
      </x:c>
      <x:c r="F25" s="155" t="n">
        <x:f>'12 Management Budget'!F10</x:f>
        <x:v>-10425</x:v>
      </x:c>
      <x:c r="G25" s="155" t="n">
        <x:f>'12 Management Budget'!G10</x:f>
        <x:v>-15278</x:v>
      </x:c>
      <x:c r="H25" s="155" t="n">
        <x:f>'12 Management Budget'!H10</x:f>
        <x:v>-13046.669999999998</x:v>
      </x:c>
      <x:c r="I25" s="155" t="n">
        <x:f>'12 Management Budget'!I10</x:f>
        <x:v>-6616.669999999998</x:v>
      </x:c>
      <x:c r="J25" s="155" t="n">
        <x:f>'12 Management Budget'!J10</x:f>
        <x:v>-10566.669999999998</x:v>
      </x:c>
      <x:c r="K25" s="155" t="n">
        <x:f>'12 Management Budget'!K10</x:f>
        <x:v>-7091.669999999998</x:v>
      </x:c>
      <x:c r="L25" s="155" t="n">
        <x:f>'12 Management Budget'!L10</x:f>
        <x:v>-2796.6699999999983</x:v>
      </x:c>
      <x:c r="M25" s="155" t="n">
        <x:f>'12 Management Budget'!M10</x:f>
        <x:v>-2206.6699999999983</x:v>
      </x:c>
      <x:c r="N25" s="155" t="n">
        <x:f>'12 Management Budget'!N10</x:f>
        <x:v>-4621.669999999998</x:v>
      </x:c>
      <x:c r="O25" s="155" t="n">
        <x:f>'12 Management Budget'!O10</x:f>
        <x:v>-8366.669999999998</x:v>
      </x:c>
      <x:c r="P25" s="155" t="n">
        <x:f>SUM(D25:O25)</x:f>
        <x:v>-114421.35999999999</x:v>
      </x:c>
    </x:row>
    <x:row r="26">
      <x:c r="A26" s="166" t="str">
        <x:v>Draft annual operating expenses</x:v>
      </x:c>
      <x:c r="B26" s="169" t="n">
        <x:v>285000</x:v>
      </x:c>
      <x:c r="C26" s="103"/>
      <x:c r="D26" s="103"/>
      <x:c r="E26" s="103"/>
      <x:c r="F26" s="103"/>
      <x:c r="G26" s="103"/>
      <x:c r="H26" s="103"/>
      <x:c r="I26" s="103"/>
      <x:c r="J26" s="103"/>
      <x:c r="K26" s="103"/>
      <x:c r="L26" s="103"/>
      <x:c r="M26" s="103"/>
      <x:c r="N26" s="103"/>
      <x:c r="O26" s="103"/>
      <x:c r="P26" s="103"/>
    </x:row>
    <x:row r="27">
      <x:c r="A27" s="166" t="str">
        <x:v>Part 1 / Part 2 annual operating expenses</x:v>
      </x:c>
      <x:c r="B27" s="169" t="n">
        <x:v>283833.33</x:v>
      </x:c>
      <x:c r="C27" s="103"/>
      <x:c r="D27" s="103"/>
      <x:c r="E27" s="103"/>
      <x:c r="F27" s="103"/>
      <x:c r="G27" s="103"/>
      <x:c r="H27" s="103"/>
      <x:c r="I27" s="103"/>
      <x:c r="J27" s="103"/>
      <x:c r="K27" s="103"/>
      <x:c r="L27" s="103"/>
      <x:c r="M27" s="103"/>
      <x:c r="N27" s="103"/>
      <x:c r="O27" s="103"/>
      <x:c r="P27" s="103"/>
    </x:row>
    <x:row r="28" ht="30" customHeight="1">
      <x:c r="A28" s="166" t="str">
        <x:v>Displayed cost breakdown must equal the selected P&amp;L</x:v>
      </x:c>
      <x:c r="B28" s="93" t="str">
        <x:v>Source-verified annual categories: Marketing €52,500 and Other expenses €4,200. All categories reconcile to 07 Draft Operating Costs.</x:v>
      </x:c>
      <x:c r="C28" s="110"/>
      <x:c r="D28" s="110"/>
      <x:c r="E28" s="110"/>
      <x:c r="F28" s="110"/>
      <x:c r="G28" s="110"/>
      <x:c r="H28" s="110"/>
      <x:c r="I28" s="110"/>
      <x:c r="J28" s="110"/>
      <x:c r="K28" s="110"/>
      <x:c r="L28" s="110"/>
      <x:c r="M28" s="110"/>
      <x:c r="N28" s="110"/>
      <x:c r="O28" s="110"/>
      <x:c r="P28" s="110"/>
    </x:row>
  </x:sheetData>
  <x:pageMargins left="0.7" right="0.7" top="0.75" bottom="0.75" header="0.3" footer="0.3"/>
</x:worksheet>
</file>